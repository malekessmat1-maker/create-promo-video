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up" sheetId="2" state="visible" r:id="rId4"/>
    <sheet name="Transactions" sheetId="3" state="visible" r:id="rId5"/>
    <sheet name="This Month" sheetId="4" state="visible" r:id="rId6"/>
    <sheet name="Year Dashboard" sheetId="5" state="visible" r:id="rId7"/>
    <sheet name="Debt Payoff" sheetId="6" state="visible" r:id="rId8"/>
    <sheet name="Savings Goal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Example rows (January to March) show the format. Delete them when you start your own log.</t>
        </r>
      </text>
    </comment>
  </commentList>
</comments>
</file>

<file path=xl/sharedStrings.xml><?xml version="1.0" encoding="utf-8"?>
<sst xmlns="http://schemas.openxmlformats.org/spreadsheetml/2006/main" count="314" uniqueCount="166">
  <si>
    <t xml:space="preserve">Sorted. Budget Planner</t>
  </si>
  <si>
    <t xml:space="preserve">Ten minutes a week. Every pound, dollar or euro with a job.</t>
  </si>
  <si>
    <t xml:space="preserve">How to use it</t>
  </si>
  <si>
    <t xml:space="preserve">1</t>
  </si>
  <si>
    <t xml:space="preserve">Setup tab: Type your budget year, your income sources and what you plan to spend per category each month. Rename or add categories freely (up to 30).</t>
  </si>
  <si>
    <t xml:space="preserve">2</t>
  </si>
  <si>
    <t xml:space="preserve">Transactions tab: Log each payment and paycheck: date, description, pick a category from the dropdown, amount. The example rows are there to show the format: delete them when you start.</t>
  </si>
  <si>
    <t xml:space="preserve">3</t>
  </si>
  <si>
    <t xml:space="preserve">This Month tab: Pick a month from the dropdown. See budget vs actual for every category, what's left, and your Needs / Wants / Savings split against 50/30/20.</t>
  </si>
  <si>
    <t xml:space="preserve">4</t>
  </si>
  <si>
    <t xml:space="preserve">Year Dashboard tab: Twelve months at a glance with charts: income, spending by group, savings rate.</t>
  </si>
  <si>
    <t xml:space="preserve">5</t>
  </si>
  <si>
    <t xml:space="preserve">Debt Payoff tab: List your debts in the order you want to clear them, add any extra monthly payment, and see your debt-free date and total interest.</t>
  </si>
  <si>
    <t xml:space="preserve">6</t>
  </si>
  <si>
    <t xml:space="preserve">Savings Goals tab: Set targets and dates. Sorted tells you how much to put aside each month.</t>
  </si>
  <si>
    <t xml:space="preserve">Colour key</t>
  </si>
  <si>
    <t xml:space="preserve">Yellow cells are yours to type in. Everything else calculates itself, so you can't break it.</t>
  </si>
  <si>
    <t xml:space="preserve">Works in</t>
  </si>
  <si>
    <t xml:space="preserve">Microsoft Excel (2010 or newer, Windows and Mac), Google Sheets (File &gt; Import &gt; Upload) and Apple Numbers.</t>
  </si>
  <si>
    <t xml:space="preserve">Amounts have no currency symbol, so the planner works in any currency.</t>
  </si>
  <si>
    <t xml:space="preserve">Tip: back up a blank copy before you start, so you can reuse it next year.</t>
  </si>
  <si>
    <t xml:space="preserve">Setup</t>
  </si>
  <si>
    <t xml:space="preserve">Set this once. Change it whenever life changes.</t>
  </si>
  <si>
    <t xml:space="preserve">Budget year</t>
  </si>
  <si>
    <t xml:space="preserve">Category</t>
  </si>
  <si>
    <t xml:space="preserve">Group</t>
  </si>
  <si>
    <t xml:space="preserve">Monthly budget</t>
  </si>
  <si>
    <t xml:space="preserve">Your plan in one look</t>
  </si>
  <si>
    <t xml:space="preserve">Salary</t>
  </si>
  <si>
    <t xml:space="preserve">Income</t>
  </si>
  <si>
    <t xml:space="preserve">Planned income</t>
  </si>
  <si>
    <t xml:space="preserve">Side income</t>
  </si>
  <si>
    <t xml:space="preserve">Planned needs</t>
  </si>
  <si>
    <t xml:space="preserve">Rent / mortgage</t>
  </si>
  <si>
    <t xml:space="preserve">Needs</t>
  </si>
  <si>
    <t xml:space="preserve">Planned wants</t>
  </si>
  <si>
    <t xml:space="preserve">Utilities</t>
  </si>
  <si>
    <t xml:space="preserve">Planned savings</t>
  </si>
  <si>
    <t xml:space="preserve">Groceries</t>
  </si>
  <si>
    <t xml:space="preserve">Planned debt</t>
  </si>
  <si>
    <t xml:space="preserve">Transport</t>
  </si>
  <si>
    <t xml:space="preserve">Left to assign</t>
  </si>
  <si>
    <t xml:space="preserve">Insurance</t>
  </si>
  <si>
    <t xml:space="preserve">Aim for 0: every unit of income gets a job (zero-based budgeting).</t>
  </si>
  <si>
    <t xml:space="preserve">Phone &amp; internet</t>
  </si>
  <si>
    <t xml:space="preserve">Health</t>
  </si>
  <si>
    <t xml:space="preserve">Eating out</t>
  </si>
  <si>
    <t xml:space="preserve">Wants</t>
  </si>
  <si>
    <t xml:space="preserve">Shopping</t>
  </si>
  <si>
    <t xml:space="preserve">Entertainment</t>
  </si>
  <si>
    <t xml:space="preserve">Subscriptions</t>
  </si>
  <si>
    <t xml:space="preserve">Travel</t>
  </si>
  <si>
    <t xml:space="preserve">Gifts</t>
  </si>
  <si>
    <t xml:space="preserve">Emergency fund</t>
  </si>
  <si>
    <t xml:space="preserve">Savings</t>
  </si>
  <si>
    <t xml:space="preserve">Investing</t>
  </si>
  <si>
    <t xml:space="preserve">Holiday fund</t>
  </si>
  <si>
    <t xml:space="preserve">Credit card</t>
  </si>
  <si>
    <t xml:space="preserve">Debt</t>
  </si>
  <si>
    <t xml:space="preserve">Student loan</t>
  </si>
  <si>
    <t xml:space="preserve">Transactions</t>
  </si>
  <si>
    <t xml:space="preserve">Log money in and money out. Pick categories from the dropdown. The grey columns fill themselves.</t>
  </si>
  <si>
    <t xml:space="preserve">Date</t>
  </si>
  <si>
    <t xml:space="preserve">Description</t>
  </si>
  <si>
    <t xml:space="preserve">Amount</t>
  </si>
  <si>
    <t xml:space="preserve">Month</t>
  </si>
  <si>
    <t xml:space="preserve">Year</t>
  </si>
  <si>
    <t xml:space="preserve">Monthly salary</t>
  </si>
  <si>
    <t xml:space="preserve">Rent</t>
  </si>
  <si>
    <t xml:space="preserve">Emergency fund transfer</t>
  </si>
  <si>
    <t xml:space="preserve">Index fund</t>
  </si>
  <si>
    <t xml:space="preserve">Electric &amp; water</t>
  </si>
  <si>
    <t xml:space="preserve">Weekly shop</t>
  </si>
  <si>
    <t xml:space="preserve">Train pass</t>
  </si>
  <si>
    <t xml:space="preserve">Streaming + music</t>
  </si>
  <si>
    <t xml:space="preserve">Dinner with friends</t>
  </si>
  <si>
    <t xml:space="preserve">Phone + broadband</t>
  </si>
  <si>
    <t xml:space="preserve">Freelance logo job</t>
  </si>
  <si>
    <t xml:space="preserve">Credit card payment</t>
  </si>
  <si>
    <t xml:space="preserve">Cinema</t>
  </si>
  <si>
    <t xml:space="preserve">Clothes</t>
  </si>
  <si>
    <t xml:space="preserve">Car insurance</t>
  </si>
  <si>
    <t xml:space="preserve">Takeaway</t>
  </si>
  <si>
    <t xml:space="preserve">Fuel</t>
  </si>
  <si>
    <t xml:space="preserve">Valentine's gift</t>
  </si>
  <si>
    <t xml:space="preserve">Pharmacy</t>
  </si>
  <si>
    <t xml:space="preserve">Flights deposit</t>
  </si>
  <si>
    <t xml:space="preserve">This Month</t>
  </si>
  <si>
    <t xml:space="preserve">Pick a month. Everything below updates.</t>
  </si>
  <si>
    <t xml:space="preserve">January</t>
  </si>
  <si>
    <t xml:space="preserve">Budget</t>
  </si>
  <si>
    <t xml:space="preserve">Actual</t>
  </si>
  <si>
    <t xml:space="preserve">Left</t>
  </si>
  <si>
    <t xml:space="preserve">Used</t>
  </si>
  <si>
    <t xml:space="preserve">Summary</t>
  </si>
  <si>
    <t xml:space="preserve">Income received</t>
  </si>
  <si>
    <t xml:space="preserve">Spent (needs + wants)</t>
  </si>
  <si>
    <t xml:space="preserve">Saved</t>
  </si>
  <si>
    <t xml:space="preserve">Debt paid</t>
  </si>
  <si>
    <t xml:space="preserve">Left over</t>
  </si>
  <si>
    <t xml:space="preserve">50 / 30 / 20 check</t>
  </si>
  <si>
    <t xml:space="preserve">% of income</t>
  </si>
  <si>
    <t xml:space="preserve">Target</t>
  </si>
  <si>
    <t xml:space="preserve">Savings includes debt paid down, as in the classic 50/30/20 rule.</t>
  </si>
  <si>
    <t xml:space="preserve">Year Dashboard</t>
  </si>
  <si>
    <t xml:space="preserve">Your year in one screen.</t>
  </si>
  <si>
    <t xml:space="preserve">Saving rate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</si>
  <si>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</si>
  <si>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</si>
  <si>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</si>
  <si>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</si>
  <si>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</si>
  <si>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</si>
  <si>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</si>
  <si>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</si>
  <si>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</si>
  <si>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</si>
  <si>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</si>
  <si>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</si>
  <si>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</si>
  <si>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Debt Payoff</t>
  </si>
  <si>
    <t xml:space="preserve">List debts in the order you want to clear them. Snowball: smallest balance first. Avalanche: highest interest first.</t>
  </si>
  <si>
    <t xml:space="preserve">Balance</t>
  </si>
  <si>
    <t xml:space="preserve">APR</t>
  </si>
  <si>
    <t xml:space="preserve">Min payment</t>
  </si>
  <si>
    <t xml:space="preserve">Paid off in</t>
  </si>
  <si>
    <t xml:space="preserve">Your plan</t>
  </si>
  <si>
    <t xml:space="preserve">Debt-free in</t>
  </si>
  <si>
    <t xml:space="preserve">Car loan</t>
  </si>
  <si>
    <t xml:space="preserve">Debt-free by</t>
  </si>
  <si>
    <t xml:space="preserve">Starting debt</t>
  </si>
  <si>
    <t xml:space="preserve">Total interest you'll pay</t>
  </si>
  <si>
    <t xml:space="preserve">Extra paid each month</t>
  </si>
  <si>
    <t xml:space="preserve">First payment month</t>
  </si>
  <si>
    <t xml:space="preserve">Total paid each month</t>
  </si>
  <si>
    <t xml:space="preserve">Month-by-month schedule (calculated)</t>
  </si>
  <si>
    <t xml:space="preserve">Owed 1</t>
  </si>
  <si>
    <t xml:space="preserve">Owed 2</t>
  </si>
  <si>
    <t xml:space="preserve">Owed 3</t>
  </si>
  <si>
    <t xml:space="preserve">Owed 4</t>
  </si>
  <si>
    <t xml:space="preserve">Owed 5</t>
  </si>
  <si>
    <t xml:space="preserve">Pay 1</t>
  </si>
  <si>
    <t xml:space="preserve">Pay 2</t>
  </si>
  <si>
    <t xml:space="preserve">Pay 3</t>
  </si>
  <si>
    <t xml:space="preserve">Pay 4</t>
  </si>
  <si>
    <t xml:space="preserve">Pay 5</t>
  </si>
  <si>
    <t xml:space="preserve">Balance 1</t>
  </si>
  <si>
    <t xml:space="preserve">Balance 2</t>
  </si>
  <si>
    <t xml:space="preserve">Balance 3</t>
  </si>
  <si>
    <t xml:space="preserve">Balance 4</t>
  </si>
  <si>
    <t xml:space="preserve">Balance 5</t>
  </si>
  <si>
    <t xml:space="preserve">Total balance</t>
  </si>
  <si>
    <t xml:space="preserve">Savings Goals</t>
  </si>
  <si>
    <t xml:space="preserve">Give every goal a date. Sorted works out the monthly amount.</t>
  </si>
  <si>
    <t xml:space="preserve">Goal</t>
  </si>
  <si>
    <t xml:space="preserve">Saved so far</t>
  </si>
  <si>
    <t xml:space="preserve">Target date</t>
  </si>
  <si>
    <t xml:space="preserve">Months left</t>
  </si>
  <si>
    <t xml:space="preserve">Save per month</t>
  </si>
  <si>
    <t xml:space="preserve">Progress</t>
  </si>
  <si>
    <t xml:space="preserve">Emergency fund (3 months)</t>
  </si>
  <si>
    <t xml:space="preserve">Summer holiday</t>
  </si>
  <si>
    <t xml:space="preserve">New laptop</t>
  </si>
  <si>
    <t xml:space="preserve">House deposit</t>
  </si>
  <si>
    <t xml:space="preserve">Total to set aside each month</t>
  </si>
  <si>
    <t xml:space="preserve">Compare this with your Savings budget on the Setup tab.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</si>
</sst>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.00;\-#,##0.00;\-"/>
    <numFmt numFmtId="167" formatCode="yyyy\-mm\-dd"/>
    <numFmt numFmtId="168" formatCode="General"/>
    <numFmt numFmtId="169" formatCode="0%;\-0%;\-"/>
    <numFmt numFmtId="170" formatCode="#,##0"/>
    <numFmt numFmtId="171" formatCode="0.0%"/>
    <numFmt numFmtId="172" formatCode="mmm\ yyyy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2E7D5B"/>
      <name val="Arial"/>
      <family val="0"/>
      <charset val="1"/>
    </font>
    <font>
      <sz val="11"/>
      <color rgb="FF6B7C76"/>
      <name val="Arial"/>
      <family val="0"/>
      <charset val="1"/>
    </font>
    <font>
      <b val="true"/>
      <sz val="13"/>
      <color rgb="FF1E2A2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1E2A2F"/>
      <name val="Arial"/>
      <family val="0"/>
      <charset val="1"/>
    </font>
    <font>
      <i val="true"/>
      <sz val="10"/>
      <color rgb="FF6B7C76"/>
      <name val="Arial"/>
      <family val="0"/>
      <charset val="1"/>
    </font>
    <font>
      <b val="true"/>
      <sz val="20"/>
      <color rgb="FF2E7D5B"/>
      <name val="Arial"/>
      <family val="0"/>
      <charset val="1"/>
    </font>
    <font>
      <sz val="10"/>
      <color rgb="FF6B7C76"/>
      <name val="Arial"/>
      <family val="0"/>
      <charset val="1"/>
    </font>
    <font>
      <b val="true"/>
      <sz val="10"/>
      <color rgb="FF1E2A2F"/>
      <name val="Arial"/>
      <family val="0"/>
      <charset val="1"/>
    </font>
    <font>
      <sz val="10"/>
      <color rgb="FF1F3A9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E2A2F"/>
      <name val="Arial"/>
      <family val="0"/>
      <charset val="1"/>
    </font>
    <font>
      <i val="true"/>
      <sz val="9"/>
      <color rgb="FF6B7C76"/>
      <name val="Arial"/>
      <family val="0"/>
      <charset val="1"/>
    </font>
    <font>
      <sz val="10"/>
      <name val="Arial"/>
      <family val="2"/>
    </font>
    <font>
      <sz val="10"/>
      <color rgb="FFFFFFFF"/>
      <name val="Arial"/>
      <family val="0"/>
      <charset val="1"/>
    </font>
    <font>
      <b val="true"/>
      <sz val="10"/>
      <color rgb="FF6B7C7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2E7D5B"/>
      <name val="Arial"/>
      <family val="0"/>
      <charset val="1"/>
    </font>
    <font>
      <b val="true"/>
      <sz val="12"/>
      <color rgb="FF2E7D5B"/>
      <name val="Arial"/>
      <family val="0"/>
      <charset val="1"/>
    </font>
    <font>
      <b val="true"/>
      <sz val="10"/>
      <color rgb="FFE0603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6B7C7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7D5B"/>
        <bgColor rgb="FF008080"/>
      </patternFill>
    </fill>
    <fill>
      <patternFill patternType="solid">
        <fgColor rgb="FFFFF6D6"/>
        <bgColor rgb="FFF4F6F5"/>
      </patternFill>
    </fill>
    <fill>
      <patternFill patternType="solid">
        <fgColor rgb="FFF4F6F5"/>
        <bgColor rgb="FFE8F3EE"/>
      </patternFill>
    </fill>
    <fill>
      <patternFill patternType="solid">
        <fgColor rgb="FFE8F3EE"/>
        <bgColor rgb="FFF4F6F5"/>
      </patternFill>
    </fill>
    <fill>
      <patternFill patternType="solid">
        <fgColor rgb="FF8A9A94"/>
        <bgColor rgb="FF87878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E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E0603F"/>
      </font>
    </dxf>
    <dxf>
      <font>
        <name val="Arial"/>
        <charset val="1"/>
        <family val="0"/>
        <b val="1"/>
        <color rgb="FF2E7D5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7C76"/>
      <rgbColor rgb="FF800080"/>
      <rgbColor rgb="FF008080"/>
      <rgbColor rgb="FFC0C0C0"/>
      <rgbColor rgb="FF878787"/>
      <rgbColor rgb="FF9999FF"/>
      <rgbColor rgb="FFC0504D"/>
      <rgbColor rgb="FFFFF6D6"/>
      <rgbColor rgb="FFE8F3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5"/>
      <rgbColor rgb="FFD5DED9"/>
      <rgbColor rgb="FFFFFF99"/>
      <rgbColor rgb="FF8CCBA9"/>
      <rgbColor rgb="FFFF99CC"/>
      <rgbColor rgb="FFCC99FF"/>
      <rgbColor rgb="FFFFCC99"/>
      <rgbColor rgb="FF4F81BD"/>
      <rgbColor rgb="FF5BA67F"/>
      <rgbColor rgb="FF9BBB59"/>
      <rgbColor rgb="FFFFCC00"/>
      <rgbColor rgb="FFE0A33F"/>
      <rgbColor rgb="FFE0603F"/>
      <rgbColor rgb="FF8064A2"/>
      <rgbColor rgb="FF8A9A94"/>
      <rgbColor rgb="FF003366"/>
      <rgbColor rgb="FF2E7D5B"/>
      <rgbColor rgb="FF003300"/>
      <rgbColor rgb="FF1F4D3A"/>
      <rgbColor rgb="FF993300"/>
      <rgbColor rgb="FF993366"/>
      <rgbColor rgb="FF1F3A93"/>
      <rgbColor rgb="FF1E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Where the money went,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'Year Dashboard'!D6</c:f>
              <c:strCache>
                <c:ptCount val="1"/>
                <c:pt idx="0">
                  <c:v>Needs</c:v>
                </c:pt>
              </c:strCache>
            </c:strRef>
          </c:tx>
          <c:spPr>
            <a:solidFill>
              <a:srgbClr val="2e7d5b"/>
            </a:solidFill>
            <a:ln w="0">
              <a:solidFill>
                <a:srgbClr val="2e7d5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Dashboard'!$B$7:$B$18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Dashboard'!$D$7:$D$18</c:f>
              <c:numCache>
                <c:formatCode>#,##0.00;\-#,##0.00;\-</c:formatCode>
                <c:ptCount val="12"/>
                <c:pt idx="0">
                  <c:v>2421.65</c:v>
                </c:pt>
                <c:pt idx="1">
                  <c:v>2427.05</c:v>
                </c:pt>
                <c:pt idx="2">
                  <c:v>2496.16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'Year Dashboard'!E6</c:f>
              <c:strCache>
                <c:ptCount val="1"/>
                <c:pt idx="0">
                  <c:v>Wants</c:v>
                </c:pt>
              </c:strCache>
            </c:strRef>
          </c:tx>
          <c:spPr>
            <a:solidFill>
              <a:srgbClr val="e0a33f"/>
            </a:solidFill>
            <a:ln w="0">
              <a:solidFill>
                <a:srgbClr val="e0a33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Dashboard'!$B$7:$B$18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Dashboard'!$E$7:$E$18</c:f>
              <c:numCache>
                <c:formatCode>#,##0.00;\-#,##0.00;\-</c:formatCode>
                <c:ptCount val="12"/>
                <c:pt idx="0">
                  <c:v>339.81</c:v>
                </c:pt>
                <c:pt idx="1">
                  <c:v>321.72</c:v>
                </c:pt>
                <c:pt idx="2">
                  <c:v>454.69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'Year Dashboard'!F6</c:f>
              <c:strCache>
                <c:ptCount val="1"/>
                <c:pt idx="0">
                  <c:v>Savings</c:v>
                </c:pt>
              </c:strCache>
            </c:strRef>
          </c:tx>
          <c:spPr>
            <a:solidFill>
              <a:srgbClr val="5ba67f"/>
            </a:solidFill>
            <a:ln w="0">
              <a:solidFill>
                <a:srgbClr val="5ba67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Dashboard'!$B$7:$B$18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Dashboard'!$F$7:$F$18</c:f>
              <c:numCache>
                <c:formatCode>#,##0.00;\-#,##0.00;\-</c:formatCode>
                <c:ptCount val="12"/>
                <c:pt idx="0">
                  <c:v>945</c:v>
                </c:pt>
                <c:pt idx="1">
                  <c:v>945</c:v>
                </c:pt>
                <c:pt idx="2">
                  <c:v>945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'Year Dashboard'!G6</c:f>
              <c:strCache>
                <c:ptCount val="1"/>
                <c:pt idx="0">
                  <c:v>Debt</c:v>
                </c:pt>
              </c:strCache>
            </c:strRef>
          </c:tx>
          <c:spPr>
            <a:solidFill>
              <a:srgbClr val="e0603f"/>
            </a:solidFill>
            <a:ln w="0">
              <a:solidFill>
                <a:srgbClr val="e0603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Dashboard'!$B$7:$B$18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Dashboard'!$G$7:$G$18</c:f>
              <c:numCache>
                <c:formatCode>#,##0.00;\-#,##0.00;\-</c:formatCode>
                <c:ptCount val="12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100"/>
        <c:axId val="88224291"/>
        <c:axId val="5314951"/>
      </c:barChart>
      <c:catAx>
        <c:axId val="882242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4951"/>
        <c:crosses val="autoZero"/>
        <c:auto val="1"/>
        <c:lblAlgn val="ctr"/>
        <c:lblOffset val="100"/>
        <c:noMultiLvlLbl val="0"/>
      </c:catAx>
      <c:valAx>
        <c:axId val="531495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242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 so far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'Year Dashboard'!$D$6:$G$6</c:f>
              <c:strCache>
                <c:ptCount val="4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  <c:pt idx="3">
                  <c:v>Debt</c:v>
                </c:pt>
              </c:strCache>
            </c:strRef>
          </c:cat>
          <c:val>
            <c:numRef>
              <c:f>'Year Dashboard'!$D$19:$G$19</c:f>
              <c:numCache>
                <c:formatCode>#,##0.00;\-#,##0.00;\-</c:formatCode>
                <c:ptCount val="4"/>
                <c:pt idx="0">
                  <c:v>7344.86</c:v>
                </c:pt>
                <c:pt idx="1">
                  <c:v>1116.22</c:v>
                </c:pt>
                <c:pt idx="2">
                  <c:v>2835</c:v>
                </c:pt>
                <c:pt idx="3">
                  <c:v>1200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vs left over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'Year Dashboard'!C6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1f4d3a"/>
            </a:solidFill>
            <a:ln w="0">
              <a:solidFill>
                <a:srgbClr val="1f4d3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Dashboard'!$B$7:$B$18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Dashboard'!$C$7:$C$18</c:f>
              <c:numCache>
                <c:formatCode>#,##0.00;\-#,##0.00;\-</c:formatCode>
                <c:ptCount val="12"/>
                <c:pt idx="0">
                  <c:v>4550</c:v>
                </c:pt>
                <c:pt idx="1">
                  <c:v>4720</c:v>
                </c:pt>
                <c:pt idx="2">
                  <c:v>4600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'Year Dashboard'!H6</c:f>
              <c:strCache>
                <c:ptCount val="1"/>
                <c:pt idx="0">
                  <c:v>Left over</c:v>
                </c:pt>
              </c:strCache>
            </c:strRef>
          </c:tx>
          <c:spPr>
            <a:solidFill>
              <a:srgbClr val="8ccba9"/>
            </a:solidFill>
            <a:ln w="0">
              <a:solidFill>
                <a:srgbClr val="8ccba9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Dashboard'!$B$7:$B$18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Dashboard'!$H$7:$H$18</c:f>
              <c:numCache>
                <c:formatCode>#,##0.00;\-#,##0.00;\-</c:formatCode>
                <c:ptCount val="12"/>
                <c:pt idx="0">
                  <c:v>443.54</c:v>
                </c:pt>
                <c:pt idx="1">
                  <c:v>626.23</c:v>
                </c:pt>
                <c:pt idx="2">
                  <c:v>304.15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84430713"/>
        <c:axId val="85820038"/>
      </c:barChart>
      <c:catAx>
        <c:axId val="844307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20038"/>
        <c:crosses val="autoZero"/>
        <c:auto val="1"/>
        <c:lblAlgn val="ctr"/>
        <c:lblOffset val="100"/>
        <c:noMultiLvlLbl val="0"/>
      </c:catAx>
      <c:valAx>
        <c:axId val="8582003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307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Debt left, month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'Debt Payoff'!U40</c:f>
              <c:strCache>
                <c:ptCount val="1"/>
                <c:pt idx="0">
                  <c:v>Balance 1</c:v>
                </c:pt>
              </c:strCache>
            </c:strRef>
          </c:tx>
          <c:spPr>
            <a:solidFill>
              <a:srgbClr val="e0603f"/>
            </a:solidFill>
            <a:ln w="0">
              <a:solidFill>
                <a:srgbClr val="e0603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'Debt Payoff'!$J$41:$J$100</c:f>
              <c:strCache>
                <c:ptCount val="60"/>
                <c:pt idx="0">
                  <c:v>Jan 2027</c:v>
                </c:pt>
                <c:pt idx="1">
                  <c:v>Feb 2027</c:v>
                </c:pt>
                <c:pt idx="2">
                  <c:v>Mar 2027</c:v>
                </c:pt>
                <c:pt idx="3">
                  <c:v>Apr 2027</c:v>
                </c:pt>
                <c:pt idx="4">
                  <c:v>May 2027</c:v>
                </c:pt>
                <c:pt idx="5">
                  <c:v>Jun 2027</c:v>
                </c:pt>
                <c:pt idx="6">
                  <c:v>Jul 2027</c:v>
                </c:pt>
                <c:pt idx="7">
                  <c:v>Aug 2027</c:v>
                </c:pt>
                <c:pt idx="8">
                  <c:v>Sep 2027</c:v>
                </c:pt>
                <c:pt idx="9">
                  <c:v>Oct 2027</c:v>
                </c:pt>
                <c:pt idx="10">
                  <c:v>Nov 2027</c:v>
                </c:pt>
                <c:pt idx="11">
                  <c:v>Dec 2027</c:v>
                </c:pt>
                <c:pt idx="12">
                  <c:v>Jan 2028</c:v>
                </c:pt>
                <c:pt idx="13">
                  <c:v>Feb 2028</c:v>
                </c:pt>
                <c:pt idx="14">
                  <c:v>Mar 2028</c:v>
                </c:pt>
                <c:pt idx="15">
                  <c:v>Apr 2028</c:v>
                </c:pt>
                <c:pt idx="16">
                  <c:v>May 2028</c:v>
                </c:pt>
                <c:pt idx="17">
                  <c:v>Jun 2028</c:v>
                </c:pt>
                <c:pt idx="18">
                  <c:v>Jul 2028</c:v>
                </c:pt>
                <c:pt idx="19">
                  <c:v>Aug 2028</c:v>
                </c:pt>
                <c:pt idx="20">
                  <c:v>Sep 2028</c:v>
                </c:pt>
                <c:pt idx="21">
                  <c:v>Oct 2028</c:v>
                </c:pt>
                <c:pt idx="22">
                  <c:v>Nov 2028</c:v>
                </c:pt>
                <c:pt idx="23">
                  <c:v>Dec 2028</c:v>
                </c:pt>
                <c:pt idx="24">
                  <c:v>Jan 2029</c:v>
                </c:pt>
                <c:pt idx="25">
                  <c:v>Feb 2029</c:v>
                </c:pt>
                <c:pt idx="26">
                  <c:v>Mar 2029</c:v>
                </c:pt>
                <c:pt idx="27">
                  <c:v>Apr 2029</c:v>
                </c:pt>
                <c:pt idx="28">
                  <c:v>May 2029</c:v>
                </c:pt>
                <c:pt idx="29">
                  <c:v>Jun 2029</c:v>
                </c:pt>
                <c:pt idx="30">
                  <c:v>Jul 2029</c:v>
                </c:pt>
                <c:pt idx="31">
                  <c:v>Aug 2029</c:v>
                </c:pt>
                <c:pt idx="32">
                  <c:v>Sep 2029</c:v>
                </c:pt>
                <c:pt idx="33">
                  <c:v>Oct 2029</c:v>
                </c:pt>
                <c:pt idx="34">
                  <c:v>Nov 2029</c:v>
                </c:pt>
                <c:pt idx="35">
                  <c:v>Dec 2029</c:v>
                </c:pt>
                <c:pt idx="36">
                  <c:v>Jan 2030</c:v>
                </c:pt>
                <c:pt idx="37">
                  <c:v>Feb 2030</c:v>
                </c:pt>
                <c:pt idx="38">
                  <c:v>Mar 2030</c:v>
                </c:pt>
                <c:pt idx="39">
                  <c:v>Apr 2030</c:v>
                </c:pt>
                <c:pt idx="40">
                  <c:v>May 2030</c:v>
                </c:pt>
                <c:pt idx="41">
                  <c:v>Jun 2030</c:v>
                </c:pt>
                <c:pt idx="42">
                  <c:v>Jul 2030</c:v>
                </c:pt>
                <c:pt idx="43">
                  <c:v>Aug 2030</c:v>
                </c:pt>
                <c:pt idx="44">
                  <c:v>Sep 2030</c:v>
                </c:pt>
                <c:pt idx="45">
                  <c:v>Oct 2030</c:v>
                </c:pt>
                <c:pt idx="46">
                  <c:v>Nov 2030</c:v>
                </c:pt>
                <c:pt idx="47">
                  <c:v>Dec 2030</c:v>
                </c:pt>
                <c:pt idx="48">
                  <c:v>Jan 2031</c:v>
                </c:pt>
                <c:pt idx="49">
                  <c:v>Feb 2031</c:v>
                </c:pt>
                <c:pt idx="50">
                  <c:v>Mar 2031</c:v>
                </c:pt>
                <c:pt idx="51">
                  <c:v>Apr 2031</c:v>
                </c:pt>
                <c:pt idx="52">
                  <c:v>May 2031</c:v>
                </c:pt>
                <c:pt idx="53">
                  <c:v>Jun 2031</c:v>
                </c:pt>
                <c:pt idx="54">
                  <c:v>Jul 2031</c:v>
                </c:pt>
                <c:pt idx="55">
                  <c:v>Aug 2031</c:v>
                </c:pt>
                <c:pt idx="56">
                  <c:v>Sep 2031</c:v>
                </c:pt>
                <c:pt idx="57">
                  <c:v>Oct 2031</c:v>
                </c:pt>
                <c:pt idx="58">
                  <c:v>Nov 2031</c:v>
                </c:pt>
                <c:pt idx="59">
                  <c:v>Dec 2031</c:v>
                </c:pt>
              </c:strCache>
            </c:strRef>
          </c:cat>
          <c:val>
            <c:numRef>
              <c:f>'Debt Payoff'!$U$41:$U$100</c:f>
              <c:numCache>
                <c:formatCode>#,##0.00;\-#,##0.00;\-</c:formatCode>
                <c:ptCount val="60"/>
                <c:pt idx="0">
                  <c:v>3016.07</c:v>
                </c:pt>
                <c:pt idx="1">
                  <c:v>2828.63</c:v>
                </c:pt>
                <c:pt idx="2">
                  <c:v>2637.61</c:v>
                </c:pt>
                <c:pt idx="3">
                  <c:v>2442.94</c:v>
                </c:pt>
                <c:pt idx="4">
                  <c:v>2244.56</c:v>
                </c:pt>
                <c:pt idx="5">
                  <c:v>2042.39</c:v>
                </c:pt>
                <c:pt idx="6">
                  <c:v>1836.37</c:v>
                </c:pt>
                <c:pt idx="7">
                  <c:v>1626.41</c:v>
                </c:pt>
                <c:pt idx="8">
                  <c:v>1412.45</c:v>
                </c:pt>
                <c:pt idx="9">
                  <c:v>1194.4</c:v>
                </c:pt>
                <c:pt idx="10">
                  <c:v>972.19</c:v>
                </c:pt>
                <c:pt idx="11">
                  <c:v>745.74</c:v>
                </c:pt>
                <c:pt idx="12">
                  <c:v>514.97</c:v>
                </c:pt>
                <c:pt idx="13">
                  <c:v>279.8</c:v>
                </c:pt>
                <c:pt idx="14">
                  <c:v>40.14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'Debt Payoff'!V40</c:f>
              <c:strCache>
                <c:ptCount val="1"/>
                <c:pt idx="0">
                  <c:v>Balance 2</c:v>
                </c:pt>
              </c:strCache>
            </c:strRef>
          </c:tx>
          <c:spPr>
            <a:solidFill>
              <a:srgbClr val="e0a33f"/>
            </a:solidFill>
            <a:ln w="0">
              <a:solidFill>
                <a:srgbClr val="e0a33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'Debt Payoff'!$J$41:$J$100</c:f>
              <c:strCache>
                <c:ptCount val="60"/>
                <c:pt idx="0">
                  <c:v>Jan 2027</c:v>
                </c:pt>
                <c:pt idx="1">
                  <c:v>Feb 2027</c:v>
                </c:pt>
                <c:pt idx="2">
                  <c:v>Mar 2027</c:v>
                </c:pt>
                <c:pt idx="3">
                  <c:v>Apr 2027</c:v>
                </c:pt>
                <c:pt idx="4">
                  <c:v>May 2027</c:v>
                </c:pt>
                <c:pt idx="5">
                  <c:v>Jun 2027</c:v>
                </c:pt>
                <c:pt idx="6">
                  <c:v>Jul 2027</c:v>
                </c:pt>
                <c:pt idx="7">
                  <c:v>Aug 2027</c:v>
                </c:pt>
                <c:pt idx="8">
                  <c:v>Sep 2027</c:v>
                </c:pt>
                <c:pt idx="9">
                  <c:v>Oct 2027</c:v>
                </c:pt>
                <c:pt idx="10">
                  <c:v>Nov 2027</c:v>
                </c:pt>
                <c:pt idx="11">
                  <c:v>Dec 2027</c:v>
                </c:pt>
                <c:pt idx="12">
                  <c:v>Jan 2028</c:v>
                </c:pt>
                <c:pt idx="13">
                  <c:v>Feb 2028</c:v>
                </c:pt>
                <c:pt idx="14">
                  <c:v>Mar 2028</c:v>
                </c:pt>
                <c:pt idx="15">
                  <c:v>Apr 2028</c:v>
                </c:pt>
                <c:pt idx="16">
                  <c:v>May 2028</c:v>
                </c:pt>
                <c:pt idx="17">
                  <c:v>Jun 2028</c:v>
                </c:pt>
                <c:pt idx="18">
                  <c:v>Jul 2028</c:v>
                </c:pt>
                <c:pt idx="19">
                  <c:v>Aug 2028</c:v>
                </c:pt>
                <c:pt idx="20">
                  <c:v>Sep 2028</c:v>
                </c:pt>
                <c:pt idx="21">
                  <c:v>Oct 2028</c:v>
                </c:pt>
                <c:pt idx="22">
                  <c:v>Nov 2028</c:v>
                </c:pt>
                <c:pt idx="23">
                  <c:v>Dec 2028</c:v>
                </c:pt>
                <c:pt idx="24">
                  <c:v>Jan 2029</c:v>
                </c:pt>
                <c:pt idx="25">
                  <c:v>Feb 2029</c:v>
                </c:pt>
                <c:pt idx="26">
                  <c:v>Mar 2029</c:v>
                </c:pt>
                <c:pt idx="27">
                  <c:v>Apr 2029</c:v>
                </c:pt>
                <c:pt idx="28">
                  <c:v>May 2029</c:v>
                </c:pt>
                <c:pt idx="29">
                  <c:v>Jun 2029</c:v>
                </c:pt>
                <c:pt idx="30">
                  <c:v>Jul 2029</c:v>
                </c:pt>
                <c:pt idx="31">
                  <c:v>Aug 2029</c:v>
                </c:pt>
                <c:pt idx="32">
                  <c:v>Sep 2029</c:v>
                </c:pt>
                <c:pt idx="33">
                  <c:v>Oct 2029</c:v>
                </c:pt>
                <c:pt idx="34">
                  <c:v>Nov 2029</c:v>
                </c:pt>
                <c:pt idx="35">
                  <c:v>Dec 2029</c:v>
                </c:pt>
                <c:pt idx="36">
                  <c:v>Jan 2030</c:v>
                </c:pt>
                <c:pt idx="37">
                  <c:v>Feb 2030</c:v>
                </c:pt>
                <c:pt idx="38">
                  <c:v>Mar 2030</c:v>
                </c:pt>
                <c:pt idx="39">
                  <c:v>Apr 2030</c:v>
                </c:pt>
                <c:pt idx="40">
                  <c:v>May 2030</c:v>
                </c:pt>
                <c:pt idx="41">
                  <c:v>Jun 2030</c:v>
                </c:pt>
                <c:pt idx="42">
                  <c:v>Jul 2030</c:v>
                </c:pt>
                <c:pt idx="43">
                  <c:v>Aug 2030</c:v>
                </c:pt>
                <c:pt idx="44">
                  <c:v>Sep 2030</c:v>
                </c:pt>
                <c:pt idx="45">
                  <c:v>Oct 2030</c:v>
                </c:pt>
                <c:pt idx="46">
                  <c:v>Nov 2030</c:v>
                </c:pt>
                <c:pt idx="47">
                  <c:v>Dec 2030</c:v>
                </c:pt>
                <c:pt idx="48">
                  <c:v>Jan 2031</c:v>
                </c:pt>
                <c:pt idx="49">
                  <c:v>Feb 2031</c:v>
                </c:pt>
                <c:pt idx="50">
                  <c:v>Mar 2031</c:v>
                </c:pt>
                <c:pt idx="51">
                  <c:v>Apr 2031</c:v>
                </c:pt>
                <c:pt idx="52">
                  <c:v>May 2031</c:v>
                </c:pt>
                <c:pt idx="53">
                  <c:v>Jun 2031</c:v>
                </c:pt>
                <c:pt idx="54">
                  <c:v>Jul 2031</c:v>
                </c:pt>
                <c:pt idx="55">
                  <c:v>Aug 2031</c:v>
                </c:pt>
                <c:pt idx="56">
                  <c:v>Sep 2031</c:v>
                </c:pt>
                <c:pt idx="57">
                  <c:v>Oct 2031</c:v>
                </c:pt>
                <c:pt idx="58">
                  <c:v>Nov 2031</c:v>
                </c:pt>
                <c:pt idx="59">
                  <c:v>Dec 2031</c:v>
                </c:pt>
              </c:strCache>
            </c:strRef>
          </c:cat>
          <c:val>
            <c:numRef>
              <c:f>'Debt Payoff'!$V$41:$V$100</c:f>
              <c:numCache>
                <c:formatCode>#,##0.00;\-#,##0.00;\-</c:formatCode>
                <c:ptCount val="60"/>
                <c:pt idx="0">
                  <c:v>8205.5</c:v>
                </c:pt>
                <c:pt idx="1">
                  <c:v>8009.95</c:v>
                </c:pt>
                <c:pt idx="2">
                  <c:v>7813.34</c:v>
                </c:pt>
                <c:pt idx="3">
                  <c:v>7615.66</c:v>
                </c:pt>
                <c:pt idx="4">
                  <c:v>7416.91</c:v>
                </c:pt>
                <c:pt idx="5">
                  <c:v>7217.08</c:v>
                </c:pt>
                <c:pt idx="6">
                  <c:v>7016.17</c:v>
                </c:pt>
                <c:pt idx="7">
                  <c:v>6814.17</c:v>
                </c:pt>
                <c:pt idx="8">
                  <c:v>6611.08</c:v>
                </c:pt>
                <c:pt idx="9">
                  <c:v>6406.89</c:v>
                </c:pt>
                <c:pt idx="10">
                  <c:v>6201.59</c:v>
                </c:pt>
                <c:pt idx="11">
                  <c:v>5995.18</c:v>
                </c:pt>
                <c:pt idx="12">
                  <c:v>5787.65</c:v>
                </c:pt>
                <c:pt idx="13">
                  <c:v>5579</c:v>
                </c:pt>
                <c:pt idx="14">
                  <c:v>5369.22</c:v>
                </c:pt>
                <c:pt idx="15">
                  <c:v>4954.21</c:v>
                </c:pt>
                <c:pt idx="16">
                  <c:v>4496.05</c:v>
                </c:pt>
                <c:pt idx="17">
                  <c:v>4035.4</c:v>
                </c:pt>
                <c:pt idx="18">
                  <c:v>3572.26</c:v>
                </c:pt>
                <c:pt idx="19">
                  <c:v>3106.61</c:v>
                </c:pt>
                <c:pt idx="20">
                  <c:v>2638.44</c:v>
                </c:pt>
                <c:pt idx="21">
                  <c:v>2167.73</c:v>
                </c:pt>
                <c:pt idx="22">
                  <c:v>1694.47</c:v>
                </c:pt>
                <c:pt idx="23">
                  <c:v>1218.65</c:v>
                </c:pt>
                <c:pt idx="24">
                  <c:v>740.25</c:v>
                </c:pt>
                <c:pt idx="25">
                  <c:v>259.26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2"/>
          <c:order val="2"/>
          <c:tx>
            <c:strRef>
              <c:f>'Debt Payoff'!W40</c:f>
              <c:strCache>
                <c:ptCount val="1"/>
                <c:pt idx="0">
                  <c:v>Balance 3</c:v>
                </c:pt>
              </c:strCache>
            </c:strRef>
          </c:tx>
          <c:spPr>
            <a:solidFill>
              <a:srgbClr val="2e7d5b"/>
            </a:solidFill>
            <a:ln w="0">
              <a:solidFill>
                <a:srgbClr val="2e7d5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'Debt Payoff'!$J$41:$J$100</c:f>
              <c:strCache>
                <c:ptCount val="60"/>
                <c:pt idx="0">
                  <c:v>Jan 2027</c:v>
                </c:pt>
                <c:pt idx="1">
                  <c:v>Feb 2027</c:v>
                </c:pt>
                <c:pt idx="2">
                  <c:v>Mar 2027</c:v>
                </c:pt>
                <c:pt idx="3">
                  <c:v>Apr 2027</c:v>
                </c:pt>
                <c:pt idx="4">
                  <c:v>May 2027</c:v>
                </c:pt>
                <c:pt idx="5">
                  <c:v>Jun 2027</c:v>
                </c:pt>
                <c:pt idx="6">
                  <c:v>Jul 2027</c:v>
                </c:pt>
                <c:pt idx="7">
                  <c:v>Aug 2027</c:v>
                </c:pt>
                <c:pt idx="8">
                  <c:v>Sep 2027</c:v>
                </c:pt>
                <c:pt idx="9">
                  <c:v>Oct 2027</c:v>
                </c:pt>
                <c:pt idx="10">
                  <c:v>Nov 2027</c:v>
                </c:pt>
                <c:pt idx="11">
                  <c:v>Dec 2027</c:v>
                </c:pt>
                <c:pt idx="12">
                  <c:v>Jan 2028</c:v>
                </c:pt>
                <c:pt idx="13">
                  <c:v>Feb 2028</c:v>
                </c:pt>
                <c:pt idx="14">
                  <c:v>Mar 2028</c:v>
                </c:pt>
                <c:pt idx="15">
                  <c:v>Apr 2028</c:v>
                </c:pt>
                <c:pt idx="16">
                  <c:v>May 2028</c:v>
                </c:pt>
                <c:pt idx="17">
                  <c:v>Jun 2028</c:v>
                </c:pt>
                <c:pt idx="18">
                  <c:v>Jul 2028</c:v>
                </c:pt>
                <c:pt idx="19">
                  <c:v>Aug 2028</c:v>
                </c:pt>
                <c:pt idx="20">
                  <c:v>Sep 2028</c:v>
                </c:pt>
                <c:pt idx="21">
                  <c:v>Oct 2028</c:v>
                </c:pt>
                <c:pt idx="22">
                  <c:v>Nov 2028</c:v>
                </c:pt>
                <c:pt idx="23">
                  <c:v>Dec 2028</c:v>
                </c:pt>
                <c:pt idx="24">
                  <c:v>Jan 2029</c:v>
                </c:pt>
                <c:pt idx="25">
                  <c:v>Feb 2029</c:v>
                </c:pt>
                <c:pt idx="26">
                  <c:v>Mar 2029</c:v>
                </c:pt>
                <c:pt idx="27">
                  <c:v>Apr 2029</c:v>
                </c:pt>
                <c:pt idx="28">
                  <c:v>May 2029</c:v>
                </c:pt>
                <c:pt idx="29">
                  <c:v>Jun 2029</c:v>
                </c:pt>
                <c:pt idx="30">
                  <c:v>Jul 2029</c:v>
                </c:pt>
                <c:pt idx="31">
                  <c:v>Aug 2029</c:v>
                </c:pt>
                <c:pt idx="32">
                  <c:v>Sep 2029</c:v>
                </c:pt>
                <c:pt idx="33">
                  <c:v>Oct 2029</c:v>
                </c:pt>
                <c:pt idx="34">
                  <c:v>Nov 2029</c:v>
                </c:pt>
                <c:pt idx="35">
                  <c:v>Dec 2029</c:v>
                </c:pt>
                <c:pt idx="36">
                  <c:v>Jan 2030</c:v>
                </c:pt>
                <c:pt idx="37">
                  <c:v>Feb 2030</c:v>
                </c:pt>
                <c:pt idx="38">
                  <c:v>Mar 2030</c:v>
                </c:pt>
                <c:pt idx="39">
                  <c:v>Apr 2030</c:v>
                </c:pt>
                <c:pt idx="40">
                  <c:v>May 2030</c:v>
                </c:pt>
                <c:pt idx="41">
                  <c:v>Jun 2030</c:v>
                </c:pt>
                <c:pt idx="42">
                  <c:v>Jul 2030</c:v>
                </c:pt>
                <c:pt idx="43">
                  <c:v>Aug 2030</c:v>
                </c:pt>
                <c:pt idx="44">
                  <c:v>Sep 2030</c:v>
                </c:pt>
                <c:pt idx="45">
                  <c:v>Oct 2030</c:v>
                </c:pt>
                <c:pt idx="46">
                  <c:v>Nov 2030</c:v>
                </c:pt>
                <c:pt idx="47">
                  <c:v>Dec 2030</c:v>
                </c:pt>
                <c:pt idx="48">
                  <c:v>Jan 2031</c:v>
                </c:pt>
                <c:pt idx="49">
                  <c:v>Feb 2031</c:v>
                </c:pt>
                <c:pt idx="50">
                  <c:v>Mar 2031</c:v>
                </c:pt>
                <c:pt idx="51">
                  <c:v>Apr 2031</c:v>
                </c:pt>
                <c:pt idx="52">
                  <c:v>May 2031</c:v>
                </c:pt>
                <c:pt idx="53">
                  <c:v>Jun 2031</c:v>
                </c:pt>
                <c:pt idx="54">
                  <c:v>Jul 2031</c:v>
                </c:pt>
                <c:pt idx="55">
                  <c:v>Aug 2031</c:v>
                </c:pt>
                <c:pt idx="56">
                  <c:v>Sep 2031</c:v>
                </c:pt>
                <c:pt idx="57">
                  <c:v>Oct 2031</c:v>
                </c:pt>
                <c:pt idx="58">
                  <c:v>Nov 2031</c:v>
                </c:pt>
                <c:pt idx="59">
                  <c:v>Dec 2031</c:v>
                </c:pt>
              </c:strCache>
            </c:strRef>
          </c:cat>
          <c:val>
            <c:numRef>
              <c:f>'Debt Payoff'!$W$41:$W$100</c:f>
              <c:numCache>
                <c:formatCode>#,##0.00;\-#,##0.00;\-</c:formatCode>
                <c:ptCount val="60"/>
                <c:pt idx="0">
                  <c:v>14400.42</c:v>
                </c:pt>
                <c:pt idx="1">
                  <c:v>14300.42</c:v>
                </c:pt>
                <c:pt idx="2">
                  <c:v>14200.01</c:v>
                </c:pt>
                <c:pt idx="3">
                  <c:v>14099.18</c:v>
                </c:pt>
                <c:pt idx="4">
                  <c:v>13997.93</c:v>
                </c:pt>
                <c:pt idx="5">
                  <c:v>13896.25</c:v>
                </c:pt>
                <c:pt idx="6">
                  <c:v>13794.15</c:v>
                </c:pt>
                <c:pt idx="7">
                  <c:v>13691.63</c:v>
                </c:pt>
                <c:pt idx="8">
                  <c:v>13588.68</c:v>
                </c:pt>
                <c:pt idx="9">
                  <c:v>13485.3</c:v>
                </c:pt>
                <c:pt idx="10">
                  <c:v>13381.49</c:v>
                </c:pt>
                <c:pt idx="11">
                  <c:v>13277.25</c:v>
                </c:pt>
                <c:pt idx="12">
                  <c:v>13172.57</c:v>
                </c:pt>
                <c:pt idx="13">
                  <c:v>13067.46</c:v>
                </c:pt>
                <c:pt idx="14">
                  <c:v>12961.91</c:v>
                </c:pt>
                <c:pt idx="15">
                  <c:v>12855.92</c:v>
                </c:pt>
                <c:pt idx="16">
                  <c:v>12749.49</c:v>
                </c:pt>
                <c:pt idx="17">
                  <c:v>12642.61</c:v>
                </c:pt>
                <c:pt idx="18">
                  <c:v>12535.29</c:v>
                </c:pt>
                <c:pt idx="19">
                  <c:v>12427.52</c:v>
                </c:pt>
                <c:pt idx="20">
                  <c:v>12319.3</c:v>
                </c:pt>
                <c:pt idx="21">
                  <c:v>12210.63</c:v>
                </c:pt>
                <c:pt idx="22">
                  <c:v>12101.51</c:v>
                </c:pt>
                <c:pt idx="23">
                  <c:v>11991.93</c:v>
                </c:pt>
                <c:pt idx="24">
                  <c:v>11881.9</c:v>
                </c:pt>
                <c:pt idx="25">
                  <c:v>11771.41</c:v>
                </c:pt>
                <c:pt idx="26">
                  <c:v>11436.12</c:v>
                </c:pt>
                <c:pt idx="27">
                  <c:v>10838.77</c:v>
                </c:pt>
                <c:pt idx="28">
                  <c:v>10238.93</c:v>
                </c:pt>
                <c:pt idx="29">
                  <c:v>9636.59</c:v>
                </c:pt>
                <c:pt idx="30">
                  <c:v>9031.74</c:v>
                </c:pt>
                <c:pt idx="31">
                  <c:v>8424.37</c:v>
                </c:pt>
                <c:pt idx="32">
                  <c:v>7814.47</c:v>
                </c:pt>
                <c:pt idx="33">
                  <c:v>7202.03</c:v>
                </c:pt>
                <c:pt idx="34">
                  <c:v>6587.04</c:v>
                </c:pt>
                <c:pt idx="35">
                  <c:v>5969.49</c:v>
                </c:pt>
                <c:pt idx="36">
                  <c:v>5349.36</c:v>
                </c:pt>
                <c:pt idx="37">
                  <c:v>4726.65</c:v>
                </c:pt>
                <c:pt idx="38">
                  <c:v>4101.34</c:v>
                </c:pt>
                <c:pt idx="39">
                  <c:v>3473.43</c:v>
                </c:pt>
                <c:pt idx="40">
                  <c:v>2842.9</c:v>
                </c:pt>
                <c:pt idx="41">
                  <c:v>2209.75</c:v>
                </c:pt>
                <c:pt idx="42">
                  <c:v>1573.96</c:v>
                </c:pt>
                <c:pt idx="43">
                  <c:v>935.52</c:v>
                </c:pt>
                <c:pt idx="44">
                  <c:v>294.42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gapWidth val="150"/>
        <c:overlap val="100"/>
        <c:axId val="52405928"/>
        <c:axId val="51748608"/>
      </c:barChart>
      <c:catAx>
        <c:axId val="52405928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48608"/>
        <c:crosses val="autoZero"/>
        <c:auto val="1"/>
        <c:lblAlgn val="ctr"/>
        <c:lblOffset val="100"/>
        <c:noMultiLvlLbl val="0"/>
      </c:catAx>
      <c:valAx>
        <c:axId val="5174860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059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6</xdr:col>
      <xdr:colOff>612360</xdr:colOff>
      <xdr:row>36</xdr:row>
      <xdr:rowOff>21960</xdr:rowOff>
    </xdr:to>
    <xdr:graphicFrame>
      <xdr:nvGraphicFramePr>
        <xdr:cNvPr id="0" name="Chart 1"/>
        <xdr:cNvGraphicFramePr/>
      </xdr:nvGraphicFramePr>
      <xdr:xfrm>
        <a:off x="266760" y="42480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10</xdr:col>
      <xdr:colOff>529200</xdr:colOff>
      <xdr:row>36</xdr:row>
      <xdr:rowOff>21960</xdr:rowOff>
    </xdr:to>
    <xdr:graphicFrame>
      <xdr:nvGraphicFramePr>
        <xdr:cNvPr id="1" name="Chart 2"/>
        <xdr:cNvGraphicFramePr/>
      </xdr:nvGraphicFramePr>
      <xdr:xfrm>
        <a:off x="7289640" y="424800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38</xdr:row>
      <xdr:rowOff>0</xdr:rowOff>
    </xdr:from>
    <xdr:to>
      <xdr:col>6</xdr:col>
      <xdr:colOff>612360</xdr:colOff>
      <xdr:row>53</xdr:row>
      <xdr:rowOff>21960</xdr:rowOff>
    </xdr:to>
    <xdr:graphicFrame>
      <xdr:nvGraphicFramePr>
        <xdr:cNvPr id="2" name="Chart 3"/>
        <xdr:cNvGraphicFramePr/>
      </xdr:nvGraphicFramePr>
      <xdr:xfrm>
        <a:off x="266760" y="7486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160920</xdr:rowOff>
    </xdr:from>
    <xdr:to>
      <xdr:col>7</xdr:col>
      <xdr:colOff>896760</xdr:colOff>
      <xdr:row>32</xdr:row>
      <xdr:rowOff>162000</xdr:rowOff>
    </xdr:to>
    <xdr:graphicFrame>
      <xdr:nvGraphicFramePr>
        <xdr:cNvPr id="3" name="Chart 1"/>
        <xdr:cNvGraphicFramePr/>
      </xdr:nvGraphicFramePr>
      <xdr:xfrm>
        <a:off x="266760" y="32958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5B"/>
    <pageSetUpPr fitToPage="tru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"/>
    <col collapsed="false" customWidth="true" hidden="false" outlineLevel="0" max="3" min="3" style="0" width="90"/>
  </cols>
  <sheetData>
    <row r="2" customFormat="false" ht="29.15" hidden="false" customHeight="false" outlineLevel="0" collapsed="false">
      <c r="C2" s="1" t="s">
        <v>0</v>
      </c>
    </row>
    <row r="3" customFormat="false" ht="15" hidden="false" customHeight="false" outlineLevel="0" collapsed="false">
      <c r="C3" s="2" t="s">
        <v>1</v>
      </c>
    </row>
    <row r="5" customFormat="false" ht="16.15" hidden="false" customHeight="false" outlineLevel="0" collapsed="false">
      <c r="C5" s="3" t="s">
        <v>2</v>
      </c>
    </row>
    <row r="6" customFormat="false" ht="31.5" hidden="false" customHeight="true" outlineLevel="0" collapsed="false">
      <c r="B6" s="4" t="s">
        <v>3</v>
      </c>
      <c r="C6" s="5" t="s">
        <v>4</v>
      </c>
    </row>
    <row r="7" customFormat="false" ht="31.5" hidden="false" customHeight="true" outlineLevel="0" collapsed="false">
      <c r="B7" s="4" t="s">
        <v>5</v>
      </c>
      <c r="C7" s="5" t="s">
        <v>6</v>
      </c>
    </row>
    <row r="8" customFormat="false" ht="31.5" hidden="false" customHeight="true" outlineLevel="0" collapsed="false">
      <c r="B8" s="4" t="s">
        <v>7</v>
      </c>
      <c r="C8" s="5" t="s">
        <v>8</v>
      </c>
    </row>
    <row r="9" customFormat="false" ht="31.5" hidden="false" customHeight="true" outlineLevel="0" collapsed="false">
      <c r="B9" s="4" t="s">
        <v>9</v>
      </c>
      <c r="C9" s="5" t="s">
        <v>10</v>
      </c>
    </row>
    <row r="10" customFormat="false" ht="31.5" hidden="false" customHeight="true" outlineLevel="0" collapsed="false">
      <c r="B10" s="4" t="s">
        <v>11</v>
      </c>
      <c r="C10" s="5" t="s">
        <v>12</v>
      </c>
    </row>
    <row r="11" customFormat="false" ht="31.5" hidden="false" customHeight="true" outlineLevel="0" collapsed="false">
      <c r="B11" s="4" t="s">
        <v>13</v>
      </c>
      <c r="C11" s="5" t="s">
        <v>14</v>
      </c>
    </row>
    <row r="13" customFormat="false" ht="16.15" hidden="false" customHeight="false" outlineLevel="0" collapsed="false">
      <c r="C13" s="3" t="s">
        <v>15</v>
      </c>
    </row>
    <row r="14" customFormat="false" ht="15" hidden="false" customHeight="false" outlineLevel="0" collapsed="false">
      <c r="B14" s="6"/>
      <c r="C14" s="7" t="s">
        <v>16</v>
      </c>
    </row>
    <row r="16" customFormat="false" ht="16.15" hidden="false" customHeight="false" outlineLevel="0" collapsed="false">
      <c r="C16" s="3" t="s">
        <v>17</v>
      </c>
    </row>
    <row r="17" customFormat="false" ht="15" hidden="false" customHeight="false" outlineLevel="0" collapsed="false">
      <c r="C17" s="7" t="s">
        <v>18</v>
      </c>
    </row>
    <row r="18" customFormat="false" ht="15" hidden="false" customHeight="false" outlineLevel="0" collapsed="false">
      <c r="C18" s="7" t="s">
        <v>19</v>
      </c>
    </row>
    <row r="20" customFormat="false" ht="15" hidden="false" customHeight="false" outlineLevel="0" collapsed="false">
      <c r="C20" s="8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A67F"/>
    <pageSetUpPr fitToPage="true"/>
  </sheetPr>
  <dimension ref="B2:G37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6" min="6" style="0" width="34"/>
    <col collapsed="false" customWidth="true" hidden="false" outlineLevel="0" max="7" min="7" style="0" width="16"/>
  </cols>
  <sheetData>
    <row r="2" customFormat="false" ht="30" hidden="false" customHeight="true" outlineLevel="0" collapsed="false">
      <c r="B2" s="9" t="s">
        <v>21</v>
      </c>
    </row>
    <row r="3" customFormat="false" ht="15" hidden="false" customHeight="false" outlineLevel="0" collapsed="false">
      <c r="B3" s="10" t="s">
        <v>22</v>
      </c>
    </row>
    <row r="5" customFormat="false" ht="15" hidden="false" customHeight="false" outlineLevel="0" collapsed="false">
      <c r="B5" s="11" t="s">
        <v>23</v>
      </c>
      <c r="C5" s="12" t="n">
        <v>2027</v>
      </c>
    </row>
    <row r="7" customFormat="false" ht="19.5" hidden="false" customHeight="true" outlineLevel="0" collapsed="false">
      <c r="B7" s="13" t="s">
        <v>24</v>
      </c>
      <c r="C7" s="14" t="s">
        <v>25</v>
      </c>
      <c r="D7" s="14" t="s">
        <v>26</v>
      </c>
      <c r="F7" s="15" t="s">
        <v>27</v>
      </c>
    </row>
    <row r="8" customFormat="false" ht="15" hidden="false" customHeight="false" outlineLevel="0" collapsed="false">
      <c r="B8" s="16" t="s">
        <v>28</v>
      </c>
      <c r="C8" s="16" t="s">
        <v>29</v>
      </c>
      <c r="D8" s="17" t="n">
        <v>4200</v>
      </c>
      <c r="F8" s="7" t="s">
        <v>30</v>
      </c>
      <c r="G8" s="18" t="n">
        <f aca="false">SUMIFS($D$8:$D$37,$C$8:$C$37,"Income")</f>
        <v>4600</v>
      </c>
    </row>
    <row r="9" customFormat="false" ht="15" hidden="false" customHeight="false" outlineLevel="0" collapsed="false">
      <c r="B9" s="16" t="s">
        <v>31</v>
      </c>
      <c r="C9" s="16" t="s">
        <v>29</v>
      </c>
      <c r="D9" s="17" t="n">
        <v>400</v>
      </c>
      <c r="F9" s="7" t="s">
        <v>32</v>
      </c>
      <c r="G9" s="18" t="n">
        <f aca="false">SUMIFS($D$8:$D$37,$C$8:$C$37,"Needs")</f>
        <v>2510</v>
      </c>
    </row>
    <row r="10" customFormat="false" ht="15" hidden="false" customHeight="false" outlineLevel="0" collapsed="false">
      <c r="B10" s="16" t="s">
        <v>33</v>
      </c>
      <c r="C10" s="16" t="s">
        <v>34</v>
      </c>
      <c r="D10" s="17" t="n">
        <v>1350</v>
      </c>
      <c r="F10" s="7" t="s">
        <v>35</v>
      </c>
      <c r="G10" s="18" t="n">
        <f aca="false">SUMIFS($D$8:$D$37,$C$8:$C$37,"Wants")</f>
        <v>645</v>
      </c>
    </row>
    <row r="11" customFormat="false" ht="15" hidden="false" customHeight="false" outlineLevel="0" collapsed="false">
      <c r="B11" s="16" t="s">
        <v>36</v>
      </c>
      <c r="C11" s="16" t="s">
        <v>34</v>
      </c>
      <c r="D11" s="17" t="n">
        <v>180</v>
      </c>
      <c r="F11" s="7" t="s">
        <v>37</v>
      </c>
      <c r="G11" s="18" t="n">
        <f aca="false">SUMIFS($D$8:$D$37,$C$8:$C$37,"Savings")</f>
        <v>1045</v>
      </c>
    </row>
    <row r="12" customFormat="false" ht="15" hidden="false" customHeight="false" outlineLevel="0" collapsed="false">
      <c r="B12" s="16" t="s">
        <v>38</v>
      </c>
      <c r="C12" s="16" t="s">
        <v>34</v>
      </c>
      <c r="D12" s="17" t="n">
        <v>450</v>
      </c>
      <c r="F12" s="7" t="s">
        <v>39</v>
      </c>
      <c r="G12" s="18" t="n">
        <f aca="false">SUMIFS($D$8:$D$37,$C$8:$C$37,"Debt")</f>
        <v>400</v>
      </c>
    </row>
    <row r="13" customFormat="false" ht="15" hidden="false" customHeight="false" outlineLevel="0" collapsed="false">
      <c r="B13" s="16" t="s">
        <v>40</v>
      </c>
      <c r="C13" s="16" t="s">
        <v>34</v>
      </c>
      <c r="D13" s="17" t="n">
        <v>220</v>
      </c>
      <c r="F13" s="11" t="s">
        <v>41</v>
      </c>
      <c r="G13" s="19" t="n">
        <f aca="false">G8-SUM(G9:G12)</f>
        <v>0</v>
      </c>
    </row>
    <row r="14" customFormat="false" ht="25.5" hidden="false" customHeight="true" outlineLevel="0" collapsed="false">
      <c r="B14" s="16" t="s">
        <v>42</v>
      </c>
      <c r="C14" s="16" t="s">
        <v>34</v>
      </c>
      <c r="D14" s="17" t="n">
        <v>160</v>
      </c>
      <c r="F14" s="20" t="s">
        <v>43</v>
      </c>
    </row>
    <row r="15" customFormat="false" ht="15" hidden="false" customHeight="false" outlineLevel="0" collapsed="false">
      <c r="B15" s="16" t="s">
        <v>44</v>
      </c>
      <c r="C15" s="16" t="s">
        <v>34</v>
      </c>
      <c r="D15" s="17" t="n">
        <v>90</v>
      </c>
    </row>
    <row r="16" customFormat="false" ht="15" hidden="false" customHeight="false" outlineLevel="0" collapsed="false">
      <c r="B16" s="16" t="s">
        <v>45</v>
      </c>
      <c r="C16" s="16" t="s">
        <v>34</v>
      </c>
      <c r="D16" s="17" t="n">
        <v>60</v>
      </c>
    </row>
    <row r="17" customFormat="false" ht="15" hidden="false" customHeight="false" outlineLevel="0" collapsed="false">
      <c r="B17" s="16" t="s">
        <v>46</v>
      </c>
      <c r="C17" s="16" t="s">
        <v>47</v>
      </c>
      <c r="D17" s="17" t="n">
        <v>200</v>
      </c>
    </row>
    <row r="18" customFormat="false" ht="15" hidden="false" customHeight="false" outlineLevel="0" collapsed="false">
      <c r="B18" s="16" t="s">
        <v>48</v>
      </c>
      <c r="C18" s="16" t="s">
        <v>47</v>
      </c>
      <c r="D18" s="17" t="n">
        <v>150</v>
      </c>
    </row>
    <row r="19" customFormat="false" ht="15" hidden="false" customHeight="false" outlineLevel="0" collapsed="false">
      <c r="B19" s="16" t="s">
        <v>49</v>
      </c>
      <c r="C19" s="16" t="s">
        <v>47</v>
      </c>
      <c r="D19" s="17" t="n">
        <v>80</v>
      </c>
    </row>
    <row r="20" customFormat="false" ht="15" hidden="false" customHeight="false" outlineLevel="0" collapsed="false">
      <c r="B20" s="16" t="s">
        <v>50</v>
      </c>
      <c r="C20" s="16" t="s">
        <v>47</v>
      </c>
      <c r="D20" s="17" t="n">
        <v>45</v>
      </c>
    </row>
    <row r="21" customFormat="false" ht="15" hidden="false" customHeight="false" outlineLevel="0" collapsed="false">
      <c r="B21" s="16" t="s">
        <v>51</v>
      </c>
      <c r="C21" s="16" t="s">
        <v>47</v>
      </c>
      <c r="D21" s="17" t="n">
        <v>120</v>
      </c>
    </row>
    <row r="22" customFormat="false" ht="15" hidden="false" customHeight="false" outlineLevel="0" collapsed="false">
      <c r="B22" s="16" t="s">
        <v>52</v>
      </c>
      <c r="C22" s="16" t="s">
        <v>47</v>
      </c>
      <c r="D22" s="17" t="n">
        <v>50</v>
      </c>
    </row>
    <row r="23" customFormat="false" ht="15" hidden="false" customHeight="false" outlineLevel="0" collapsed="false">
      <c r="B23" s="16" t="s">
        <v>53</v>
      </c>
      <c r="C23" s="16" t="s">
        <v>54</v>
      </c>
      <c r="D23" s="17" t="n">
        <v>500</v>
      </c>
    </row>
    <row r="24" customFormat="false" ht="15" hidden="false" customHeight="false" outlineLevel="0" collapsed="false">
      <c r="B24" s="16" t="s">
        <v>55</v>
      </c>
      <c r="C24" s="16" t="s">
        <v>54</v>
      </c>
      <c r="D24" s="17" t="n">
        <v>445</v>
      </c>
    </row>
    <row r="25" customFormat="false" ht="15" hidden="false" customHeight="false" outlineLevel="0" collapsed="false">
      <c r="B25" s="16" t="s">
        <v>56</v>
      </c>
      <c r="C25" s="16" t="s">
        <v>54</v>
      </c>
      <c r="D25" s="17" t="n">
        <v>100</v>
      </c>
    </row>
    <row r="26" customFormat="false" ht="15" hidden="false" customHeight="false" outlineLevel="0" collapsed="false">
      <c r="B26" s="16" t="s">
        <v>57</v>
      </c>
      <c r="C26" s="16" t="s">
        <v>58</v>
      </c>
      <c r="D26" s="17" t="n">
        <v>250</v>
      </c>
    </row>
    <row r="27" customFormat="false" ht="15" hidden="false" customHeight="false" outlineLevel="0" collapsed="false">
      <c r="B27" s="16" t="s">
        <v>59</v>
      </c>
      <c r="C27" s="16" t="s">
        <v>58</v>
      </c>
      <c r="D27" s="17" t="n">
        <v>150</v>
      </c>
    </row>
    <row r="28" customFormat="false" ht="15" hidden="false" customHeight="false" outlineLevel="0" collapsed="false">
      <c r="B28" s="16"/>
      <c r="C28" s="16"/>
      <c r="D28" s="17"/>
    </row>
    <row r="29" customFormat="false" ht="15" hidden="false" customHeight="false" outlineLevel="0" collapsed="false">
      <c r="B29" s="16"/>
      <c r="C29" s="16"/>
      <c r="D29" s="17"/>
    </row>
    <row r="30" customFormat="false" ht="15" hidden="false" customHeight="false" outlineLevel="0" collapsed="false">
      <c r="B30" s="16"/>
      <c r="C30" s="16"/>
      <c r="D30" s="17"/>
    </row>
    <row r="31" customFormat="false" ht="15" hidden="false" customHeight="false" outlineLevel="0" collapsed="false">
      <c r="B31" s="16"/>
      <c r="C31" s="16"/>
      <c r="D31" s="17"/>
    </row>
    <row r="32" customFormat="false" ht="15" hidden="false" customHeight="false" outlineLevel="0" collapsed="false">
      <c r="B32" s="16"/>
      <c r="C32" s="16"/>
      <c r="D32" s="17"/>
    </row>
    <row r="33" customFormat="false" ht="15" hidden="false" customHeight="false" outlineLevel="0" collapsed="false">
      <c r="B33" s="16"/>
      <c r="C33" s="16"/>
      <c r="D33" s="17"/>
    </row>
    <row r="34" customFormat="false" ht="15" hidden="false" customHeight="false" outlineLevel="0" collapsed="false">
      <c r="B34" s="16"/>
      <c r="C34" s="16"/>
      <c r="D34" s="17"/>
    </row>
    <row r="35" customFormat="false" ht="15" hidden="false" customHeight="false" outlineLevel="0" collapsed="false">
      <c r="B35" s="16"/>
      <c r="C35" s="16"/>
      <c r="D35" s="17"/>
    </row>
    <row r="36" customFormat="false" ht="15" hidden="false" customHeight="false" outlineLevel="0" collapsed="false">
      <c r="B36" s="16"/>
      <c r="C36" s="16"/>
      <c r="D36" s="17"/>
    </row>
    <row r="37" customFormat="false" ht="15" hidden="false" customHeight="false" outlineLevel="0" collapsed="false">
      <c r="B37" s="16"/>
      <c r="C37" s="16"/>
      <c r="D37" s="17"/>
    </row>
  </sheetData>
  <conditionalFormatting sqref="G13">
    <cfRule type="cellIs" priority="2" operator="lessThan" aboveAverage="0" equalAverage="0" bottom="0" percent="0" rank="0" text="" dxfId="0">
      <formula>-0.005</formula>
    </cfRule>
    <cfRule type="cellIs" priority="3" operator="between" aboveAverage="0" equalAverage="0" bottom="0" percent="0" rank="0" text="" dxfId="1">
      <formula>-0.005</formula>
      <formula>0.005</formula>
    </cfRule>
  </conditionalFormatting>
  <dataValidations count="1">
    <dataValidation allowBlank="true" errorStyle="stop" operator="between" showDropDown="false" showErrorMessage="false" showInputMessage="false" sqref="C8:C37" type="list">
      <formula1>"Income,Needs,Wants,Savings,Debt"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A33F"/>
    <pageSetUpPr fitToPage="true"/>
  </sheetPr>
  <dimension ref="B2:H1504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8"/>
  </cols>
  <sheetData>
    <row r="2" customFormat="false" ht="30" hidden="false" customHeight="true" outlineLevel="0" collapsed="false">
      <c r="B2" s="9" t="s">
        <v>60</v>
      </c>
    </row>
    <row r="3" customFormat="false" ht="15" hidden="false" customHeight="false" outlineLevel="0" collapsed="false">
      <c r="B3" s="10" t="s">
        <v>61</v>
      </c>
    </row>
    <row r="4" customFormat="false" ht="19.5" hidden="false" customHeight="true" outlineLevel="0" collapsed="false">
      <c r="B4" s="13" t="s">
        <v>62</v>
      </c>
      <c r="C4" s="14" t="s">
        <v>63</v>
      </c>
      <c r="D4" s="14" t="s">
        <v>24</v>
      </c>
      <c r="E4" s="14" t="s">
        <v>64</v>
      </c>
      <c r="F4" s="14" t="s">
        <v>25</v>
      </c>
      <c r="G4" s="14" t="s">
        <v>65</v>
      </c>
      <c r="H4" s="14" t="s">
        <v>66</v>
      </c>
    </row>
    <row r="5" customFormat="false" ht="15" hidden="false" customHeight="false" outlineLevel="0" collapsed="false">
      <c r="B5" s="21" t="n">
        <v>46388</v>
      </c>
      <c r="C5" s="16" t="s">
        <v>67</v>
      </c>
      <c r="D5" s="16" t="s">
        <v>28</v>
      </c>
      <c r="E5" s="17" t="n">
        <v>4200</v>
      </c>
      <c r="F5" s="22" t="str">
        <f aca="false">IF(D5="","",IFERROR(INDEX(Setup!$C$8:$C$37,MATCH(D5,Setup!$B$8:$B$37,0)),"Check category"))</f>
        <v>Income</v>
      </c>
      <c r="G5" s="23" t="n">
        <f aca="false">IF(B5="","",MONTH(B5))</f>
        <v>1</v>
      </c>
      <c r="H5" s="23" t="n">
        <f aca="false">IF(B5="","",YEAR(B5))</f>
        <v>2027</v>
      </c>
    </row>
    <row r="6" customFormat="false" ht="15" hidden="false" customHeight="false" outlineLevel="0" collapsed="false">
      <c r="B6" s="21" t="n">
        <v>46388</v>
      </c>
      <c r="C6" s="16" t="s">
        <v>68</v>
      </c>
      <c r="D6" s="16" t="s">
        <v>33</v>
      </c>
      <c r="E6" s="17" t="n">
        <v>1350</v>
      </c>
      <c r="F6" s="22" t="str">
        <f aca="false">IF(D6="","",IFERROR(INDEX(Setup!$C$8:$C$37,MATCH(D6,Setup!$B$8:$B$37,0)),"Check category"))</f>
        <v>Needs</v>
      </c>
      <c r="G6" s="23" t="n">
        <f aca="false">IF(B6="","",MONTH(B6))</f>
        <v>1</v>
      </c>
      <c r="H6" s="23" t="n">
        <f aca="false">IF(B6="","",YEAR(B6))</f>
        <v>2027</v>
      </c>
    </row>
    <row r="7" customFormat="false" ht="15" hidden="false" customHeight="false" outlineLevel="0" collapsed="false">
      <c r="B7" s="21" t="n">
        <v>46389</v>
      </c>
      <c r="C7" s="16" t="s">
        <v>69</v>
      </c>
      <c r="D7" s="16" t="s">
        <v>53</v>
      </c>
      <c r="E7" s="17" t="n">
        <v>500</v>
      </c>
      <c r="F7" s="22" t="str">
        <f aca="false">IF(D7="","",IFERROR(INDEX(Setup!$C$8:$C$37,MATCH(D7,Setup!$B$8:$B$37,0)),"Check category"))</f>
        <v>Savings</v>
      </c>
      <c r="G7" s="23" t="n">
        <f aca="false">IF(B7="","",MONTH(B7))</f>
        <v>1</v>
      </c>
      <c r="H7" s="23" t="n">
        <f aca="false">IF(B7="","",YEAR(B7))</f>
        <v>2027</v>
      </c>
    </row>
    <row r="8" customFormat="false" ht="15" hidden="false" customHeight="false" outlineLevel="0" collapsed="false">
      <c r="B8" s="21" t="n">
        <v>46389</v>
      </c>
      <c r="C8" s="16" t="s">
        <v>70</v>
      </c>
      <c r="D8" s="16" t="s">
        <v>55</v>
      </c>
      <c r="E8" s="17" t="n">
        <v>445</v>
      </c>
      <c r="F8" s="22" t="str">
        <f aca="false">IF(D8="","",IFERROR(INDEX(Setup!$C$8:$C$37,MATCH(D8,Setup!$B$8:$B$37,0)),"Check category"))</f>
        <v>Savings</v>
      </c>
      <c r="G8" s="23" t="n">
        <f aca="false">IF(B8="","",MONTH(B8))</f>
        <v>1</v>
      </c>
      <c r="H8" s="23" t="n">
        <f aca="false">IF(B8="","",YEAR(B8))</f>
        <v>2027</v>
      </c>
    </row>
    <row r="9" customFormat="false" ht="15" hidden="false" customHeight="false" outlineLevel="0" collapsed="false">
      <c r="B9" s="21" t="n">
        <v>46390</v>
      </c>
      <c r="C9" s="16" t="s">
        <v>71</v>
      </c>
      <c r="D9" s="16" t="s">
        <v>36</v>
      </c>
      <c r="E9" s="17" t="n">
        <v>178.77</v>
      </c>
      <c r="F9" s="22" t="str">
        <f aca="false">IF(D9="","",IFERROR(INDEX(Setup!$C$8:$C$37,MATCH(D9,Setup!$B$8:$B$37,0)),"Check category"))</f>
        <v>Needs</v>
      </c>
      <c r="G9" s="23" t="n">
        <f aca="false">IF(B9="","",MONTH(B9))</f>
        <v>1</v>
      </c>
      <c r="H9" s="23" t="n">
        <f aca="false">IF(B9="","",YEAR(B9))</f>
        <v>2027</v>
      </c>
    </row>
    <row r="10" customFormat="false" ht="15" hidden="false" customHeight="false" outlineLevel="0" collapsed="false">
      <c r="B10" s="21" t="n">
        <v>46391</v>
      </c>
      <c r="C10" s="16" t="s">
        <v>72</v>
      </c>
      <c r="D10" s="16" t="s">
        <v>38</v>
      </c>
      <c r="E10" s="17" t="n">
        <v>95.88</v>
      </c>
      <c r="F10" s="22" t="str">
        <f aca="false">IF(D10="","",IFERROR(INDEX(Setup!$C$8:$C$37,MATCH(D10,Setup!$B$8:$B$37,0)),"Check category"))</f>
        <v>Needs</v>
      </c>
      <c r="G10" s="23" t="n">
        <f aca="false">IF(B10="","",MONTH(B10))</f>
        <v>1</v>
      </c>
      <c r="H10" s="23" t="n">
        <f aca="false">IF(B10="","",YEAR(B10))</f>
        <v>2027</v>
      </c>
    </row>
    <row r="11" customFormat="false" ht="15" hidden="false" customHeight="false" outlineLevel="0" collapsed="false">
      <c r="B11" s="21" t="n">
        <v>46392</v>
      </c>
      <c r="C11" s="16" t="s">
        <v>73</v>
      </c>
      <c r="D11" s="16" t="s">
        <v>40</v>
      </c>
      <c r="E11" s="17" t="n">
        <v>180</v>
      </c>
      <c r="F11" s="22" t="str">
        <f aca="false">IF(D11="","",IFERROR(INDEX(Setup!$C$8:$C$37,MATCH(D11,Setup!$B$8:$B$37,0)),"Check category"))</f>
        <v>Needs</v>
      </c>
      <c r="G11" s="23" t="n">
        <f aca="false">IF(B11="","",MONTH(B11))</f>
        <v>1</v>
      </c>
      <c r="H11" s="23" t="n">
        <f aca="false">IF(B11="","",YEAR(B11))</f>
        <v>2027</v>
      </c>
    </row>
    <row r="12" customFormat="false" ht="15" hidden="false" customHeight="false" outlineLevel="0" collapsed="false">
      <c r="B12" s="21" t="n">
        <v>46393</v>
      </c>
      <c r="C12" s="16" t="s">
        <v>74</v>
      </c>
      <c r="D12" s="16" t="s">
        <v>50</v>
      </c>
      <c r="E12" s="17" t="n">
        <v>45</v>
      </c>
      <c r="F12" s="22" t="str">
        <f aca="false">IF(D12="","",IFERROR(INDEX(Setup!$C$8:$C$37,MATCH(D12,Setup!$B$8:$B$37,0)),"Check category"))</f>
        <v>Wants</v>
      </c>
      <c r="G12" s="23" t="n">
        <f aca="false">IF(B12="","",MONTH(B12))</f>
        <v>1</v>
      </c>
      <c r="H12" s="23" t="n">
        <f aca="false">IF(B12="","",YEAR(B12))</f>
        <v>2027</v>
      </c>
    </row>
    <row r="13" customFormat="false" ht="15" hidden="false" customHeight="false" outlineLevel="0" collapsed="false">
      <c r="B13" s="21" t="n">
        <v>46395</v>
      </c>
      <c r="C13" s="16" t="s">
        <v>75</v>
      </c>
      <c r="D13" s="16" t="s">
        <v>46</v>
      </c>
      <c r="E13" s="17" t="n">
        <v>52.38</v>
      </c>
      <c r="F13" s="22" t="str">
        <f aca="false">IF(D13="","",IFERROR(INDEX(Setup!$C$8:$C$37,MATCH(D13,Setup!$B$8:$B$37,0)),"Check category"))</f>
        <v>Wants</v>
      </c>
      <c r="G13" s="23" t="n">
        <f aca="false">IF(B13="","",MONTH(B13))</f>
        <v>1</v>
      </c>
      <c r="H13" s="23" t="n">
        <f aca="false">IF(B13="","",YEAR(B13))</f>
        <v>2027</v>
      </c>
    </row>
    <row r="14" customFormat="false" ht="15" hidden="false" customHeight="false" outlineLevel="0" collapsed="false">
      <c r="B14" s="21" t="n">
        <v>46398</v>
      </c>
      <c r="C14" s="16" t="s">
        <v>72</v>
      </c>
      <c r="D14" s="16" t="s">
        <v>38</v>
      </c>
      <c r="E14" s="17" t="n">
        <v>102.81</v>
      </c>
      <c r="F14" s="22" t="str">
        <f aca="false">IF(D14="","",IFERROR(INDEX(Setup!$C$8:$C$37,MATCH(D14,Setup!$B$8:$B$37,0)),"Check category"))</f>
        <v>Needs</v>
      </c>
      <c r="G14" s="23" t="n">
        <f aca="false">IF(B14="","",MONTH(B14))</f>
        <v>1</v>
      </c>
      <c r="H14" s="23" t="n">
        <f aca="false">IF(B14="","",YEAR(B14))</f>
        <v>2027</v>
      </c>
    </row>
    <row r="15" customFormat="false" ht="15" hidden="false" customHeight="false" outlineLevel="0" collapsed="false">
      <c r="B15" s="21" t="n">
        <v>46399</v>
      </c>
      <c r="C15" s="16" t="s">
        <v>76</v>
      </c>
      <c r="D15" s="16" t="s">
        <v>44</v>
      </c>
      <c r="E15" s="17" t="n">
        <v>90</v>
      </c>
      <c r="F15" s="22" t="str">
        <f aca="false">IF(D15="","",IFERROR(INDEX(Setup!$C$8:$C$37,MATCH(D15,Setup!$B$8:$B$37,0)),"Check category"))</f>
        <v>Needs</v>
      </c>
      <c r="G15" s="23" t="n">
        <f aca="false">IF(B15="","",MONTH(B15))</f>
        <v>1</v>
      </c>
      <c r="H15" s="23" t="n">
        <f aca="false">IF(B15="","",YEAR(B15))</f>
        <v>2027</v>
      </c>
    </row>
    <row r="16" customFormat="false" ht="15" hidden="false" customHeight="false" outlineLevel="0" collapsed="false">
      <c r="B16" s="21" t="n">
        <v>46401</v>
      </c>
      <c r="C16" s="16" t="s">
        <v>77</v>
      </c>
      <c r="D16" s="16" t="s">
        <v>31</v>
      </c>
      <c r="E16" s="17" t="n">
        <v>350</v>
      </c>
      <c r="F16" s="22" t="str">
        <f aca="false">IF(D16="","",IFERROR(INDEX(Setup!$C$8:$C$37,MATCH(D16,Setup!$B$8:$B$37,0)),"Check category"))</f>
        <v>Income</v>
      </c>
      <c r="G16" s="23" t="n">
        <f aca="false">IF(B16="","",MONTH(B16))</f>
        <v>1</v>
      </c>
      <c r="H16" s="23" t="n">
        <f aca="false">IF(B16="","",YEAR(B16))</f>
        <v>2027</v>
      </c>
    </row>
    <row r="17" customFormat="false" ht="15" hidden="false" customHeight="false" outlineLevel="0" collapsed="false">
      <c r="B17" s="21" t="n">
        <v>46402</v>
      </c>
      <c r="C17" s="16" t="s">
        <v>78</v>
      </c>
      <c r="D17" s="16" t="s">
        <v>57</v>
      </c>
      <c r="E17" s="17" t="n">
        <v>250</v>
      </c>
      <c r="F17" s="22" t="str">
        <f aca="false">IF(D17="","",IFERROR(INDEX(Setup!$C$8:$C$37,MATCH(D17,Setup!$B$8:$B$37,0)),"Check category"))</f>
        <v>Debt</v>
      </c>
      <c r="G17" s="23" t="n">
        <f aca="false">IF(B17="","",MONTH(B17))</f>
        <v>1</v>
      </c>
      <c r="H17" s="23" t="n">
        <f aca="false">IF(B17="","",YEAR(B17))</f>
        <v>2027</v>
      </c>
    </row>
    <row r="18" customFormat="false" ht="15" hidden="false" customHeight="false" outlineLevel="0" collapsed="false">
      <c r="B18" s="21" t="n">
        <v>46402</v>
      </c>
      <c r="C18" s="16" t="s">
        <v>59</v>
      </c>
      <c r="D18" s="16" t="s">
        <v>59</v>
      </c>
      <c r="E18" s="17" t="n">
        <v>150</v>
      </c>
      <c r="F18" s="22" t="str">
        <f aca="false">IF(D18="","",IFERROR(INDEX(Setup!$C$8:$C$37,MATCH(D18,Setup!$B$8:$B$37,0)),"Check category"))</f>
        <v>Debt</v>
      </c>
      <c r="G18" s="23" t="n">
        <f aca="false">IF(B18="","",MONTH(B18))</f>
        <v>1</v>
      </c>
      <c r="H18" s="23" t="n">
        <f aca="false">IF(B18="","",YEAR(B18))</f>
        <v>2027</v>
      </c>
    </row>
    <row r="19" customFormat="false" ht="15" hidden="false" customHeight="false" outlineLevel="0" collapsed="false">
      <c r="B19" s="21" t="n">
        <v>46404</v>
      </c>
      <c r="C19" s="16" t="s">
        <v>79</v>
      </c>
      <c r="D19" s="16" t="s">
        <v>49</v>
      </c>
      <c r="E19" s="17" t="n">
        <v>38.41</v>
      </c>
      <c r="F19" s="22" t="str">
        <f aca="false">IF(D19="","",IFERROR(INDEX(Setup!$C$8:$C$37,MATCH(D19,Setup!$B$8:$B$37,0)),"Check category"))</f>
        <v>Wants</v>
      </c>
      <c r="G19" s="23" t="n">
        <f aca="false">IF(B19="","",MONTH(B19))</f>
        <v>1</v>
      </c>
      <c r="H19" s="23" t="n">
        <f aca="false">IF(B19="","",YEAR(B19))</f>
        <v>2027</v>
      </c>
    </row>
    <row r="20" customFormat="false" ht="15" hidden="false" customHeight="false" outlineLevel="0" collapsed="false">
      <c r="B20" s="21" t="n">
        <v>46405</v>
      </c>
      <c r="C20" s="16" t="s">
        <v>72</v>
      </c>
      <c r="D20" s="16" t="s">
        <v>38</v>
      </c>
      <c r="E20" s="17" t="n">
        <v>118.68</v>
      </c>
      <c r="F20" s="22" t="str">
        <f aca="false">IF(D20="","",IFERROR(INDEX(Setup!$C$8:$C$37,MATCH(D20,Setup!$B$8:$B$37,0)),"Check category"))</f>
        <v>Needs</v>
      </c>
      <c r="G20" s="23" t="n">
        <f aca="false">IF(B20="","",MONTH(B20))</f>
        <v>1</v>
      </c>
      <c r="H20" s="23" t="n">
        <f aca="false">IF(B20="","",YEAR(B20))</f>
        <v>2027</v>
      </c>
    </row>
    <row r="21" customFormat="false" ht="15" hidden="false" customHeight="false" outlineLevel="0" collapsed="false">
      <c r="B21" s="21" t="n">
        <v>46407</v>
      </c>
      <c r="C21" s="16" t="s">
        <v>80</v>
      </c>
      <c r="D21" s="16" t="s">
        <v>48</v>
      </c>
      <c r="E21" s="17" t="n">
        <v>175.98</v>
      </c>
      <c r="F21" s="22" t="str">
        <f aca="false">IF(D21="","",IFERROR(INDEX(Setup!$C$8:$C$37,MATCH(D21,Setup!$B$8:$B$37,0)),"Check category"))</f>
        <v>Wants</v>
      </c>
      <c r="G21" s="23" t="n">
        <f aca="false">IF(B21="","",MONTH(B21))</f>
        <v>1</v>
      </c>
      <c r="H21" s="23" t="n">
        <f aca="false">IF(B21="","",YEAR(B21))</f>
        <v>2027</v>
      </c>
    </row>
    <row r="22" customFormat="false" ht="15" hidden="false" customHeight="false" outlineLevel="0" collapsed="false">
      <c r="B22" s="21" t="n">
        <v>46409</v>
      </c>
      <c r="C22" s="16" t="s">
        <v>81</v>
      </c>
      <c r="D22" s="16" t="s">
        <v>42</v>
      </c>
      <c r="E22" s="17" t="n">
        <v>160</v>
      </c>
      <c r="F22" s="22" t="str">
        <f aca="false">IF(D22="","",IFERROR(INDEX(Setup!$C$8:$C$37,MATCH(D22,Setup!$B$8:$B$37,0)),"Check category"))</f>
        <v>Needs</v>
      </c>
      <c r="G22" s="23" t="n">
        <f aca="false">IF(B22="","",MONTH(B22))</f>
        <v>1</v>
      </c>
      <c r="H22" s="23" t="n">
        <f aca="false">IF(B22="","",YEAR(B22))</f>
        <v>2027</v>
      </c>
    </row>
    <row r="23" customFormat="false" ht="15" hidden="false" customHeight="false" outlineLevel="0" collapsed="false">
      <c r="B23" s="21" t="n">
        <v>46411</v>
      </c>
      <c r="C23" s="16" t="s">
        <v>82</v>
      </c>
      <c r="D23" s="16" t="s">
        <v>46</v>
      </c>
      <c r="E23" s="17" t="n">
        <v>28.04</v>
      </c>
      <c r="F23" s="22" t="str">
        <f aca="false">IF(D23="","",IFERROR(INDEX(Setup!$C$8:$C$37,MATCH(D23,Setup!$B$8:$B$37,0)),"Check category"))</f>
        <v>Wants</v>
      </c>
      <c r="G23" s="23" t="n">
        <f aca="false">IF(B23="","",MONTH(B23))</f>
        <v>1</v>
      </c>
      <c r="H23" s="23" t="n">
        <f aca="false">IF(B23="","",YEAR(B23))</f>
        <v>2027</v>
      </c>
    </row>
    <row r="24" customFormat="false" ht="15" hidden="false" customHeight="false" outlineLevel="0" collapsed="false">
      <c r="B24" s="21" t="n">
        <v>46412</v>
      </c>
      <c r="C24" s="16" t="s">
        <v>72</v>
      </c>
      <c r="D24" s="16" t="s">
        <v>38</v>
      </c>
      <c r="E24" s="17" t="n">
        <v>109.77</v>
      </c>
      <c r="F24" s="22" t="str">
        <f aca="false">IF(D24="","",IFERROR(INDEX(Setup!$C$8:$C$37,MATCH(D24,Setup!$B$8:$B$37,0)),"Check category"))</f>
        <v>Needs</v>
      </c>
      <c r="G24" s="23" t="n">
        <f aca="false">IF(B24="","",MONTH(B24))</f>
        <v>1</v>
      </c>
      <c r="H24" s="23" t="n">
        <f aca="false">IF(B24="","",YEAR(B24))</f>
        <v>2027</v>
      </c>
    </row>
    <row r="25" customFormat="false" ht="15" hidden="false" customHeight="false" outlineLevel="0" collapsed="false">
      <c r="B25" s="21" t="n">
        <v>46414</v>
      </c>
      <c r="C25" s="16" t="s">
        <v>83</v>
      </c>
      <c r="D25" s="16" t="s">
        <v>40</v>
      </c>
      <c r="E25" s="17" t="n">
        <v>35.74</v>
      </c>
      <c r="F25" s="22" t="str">
        <f aca="false">IF(D25="","",IFERROR(INDEX(Setup!$C$8:$C$37,MATCH(D25,Setup!$B$8:$B$37,0)),"Check category"))</f>
        <v>Needs</v>
      </c>
      <c r="G25" s="23" t="n">
        <f aca="false">IF(B25="","",MONTH(B25))</f>
        <v>1</v>
      </c>
      <c r="H25" s="23" t="n">
        <f aca="false">IF(B25="","",YEAR(B25))</f>
        <v>2027</v>
      </c>
    </row>
    <row r="26" customFormat="false" ht="15" hidden="false" customHeight="false" outlineLevel="0" collapsed="false">
      <c r="B26" s="21" t="n">
        <v>46419</v>
      </c>
      <c r="C26" s="16" t="s">
        <v>67</v>
      </c>
      <c r="D26" s="16" t="s">
        <v>28</v>
      </c>
      <c r="E26" s="17" t="n">
        <v>4200</v>
      </c>
      <c r="F26" s="22" t="str">
        <f aca="false">IF(D26="","",IFERROR(INDEX(Setup!$C$8:$C$37,MATCH(D26,Setup!$B$8:$B$37,0)),"Check category"))</f>
        <v>Income</v>
      </c>
      <c r="G26" s="23" t="n">
        <f aca="false">IF(B26="","",MONTH(B26))</f>
        <v>2</v>
      </c>
      <c r="H26" s="23" t="n">
        <f aca="false">IF(B26="","",YEAR(B26))</f>
        <v>2027</v>
      </c>
    </row>
    <row r="27" customFormat="false" ht="15" hidden="false" customHeight="false" outlineLevel="0" collapsed="false">
      <c r="B27" s="21" t="n">
        <v>46419</v>
      </c>
      <c r="C27" s="16" t="s">
        <v>68</v>
      </c>
      <c r="D27" s="16" t="s">
        <v>33</v>
      </c>
      <c r="E27" s="17" t="n">
        <v>1350</v>
      </c>
      <c r="F27" s="22" t="str">
        <f aca="false">IF(D27="","",IFERROR(INDEX(Setup!$C$8:$C$37,MATCH(D27,Setup!$B$8:$B$37,0)),"Check category"))</f>
        <v>Needs</v>
      </c>
      <c r="G27" s="23" t="n">
        <f aca="false">IF(B27="","",MONTH(B27))</f>
        <v>2</v>
      </c>
      <c r="H27" s="23" t="n">
        <f aca="false">IF(B27="","",YEAR(B27))</f>
        <v>2027</v>
      </c>
    </row>
    <row r="28" customFormat="false" ht="15" hidden="false" customHeight="false" outlineLevel="0" collapsed="false">
      <c r="B28" s="21" t="n">
        <v>46420</v>
      </c>
      <c r="C28" s="16" t="s">
        <v>69</v>
      </c>
      <c r="D28" s="16" t="s">
        <v>53</v>
      </c>
      <c r="E28" s="17" t="n">
        <v>500</v>
      </c>
      <c r="F28" s="22" t="str">
        <f aca="false">IF(D28="","",IFERROR(INDEX(Setup!$C$8:$C$37,MATCH(D28,Setup!$B$8:$B$37,0)),"Check category"))</f>
        <v>Savings</v>
      </c>
      <c r="G28" s="23" t="n">
        <f aca="false">IF(B28="","",MONTH(B28))</f>
        <v>2</v>
      </c>
      <c r="H28" s="23" t="n">
        <f aca="false">IF(B28="","",YEAR(B28))</f>
        <v>2027</v>
      </c>
    </row>
    <row r="29" customFormat="false" ht="15" hidden="false" customHeight="false" outlineLevel="0" collapsed="false">
      <c r="B29" s="21" t="n">
        <v>46420</v>
      </c>
      <c r="C29" s="16" t="s">
        <v>70</v>
      </c>
      <c r="D29" s="16" t="s">
        <v>55</v>
      </c>
      <c r="E29" s="17" t="n">
        <v>445</v>
      </c>
      <c r="F29" s="22" t="str">
        <f aca="false">IF(D29="","",IFERROR(INDEX(Setup!$C$8:$C$37,MATCH(D29,Setup!$B$8:$B$37,0)),"Check category"))</f>
        <v>Savings</v>
      </c>
      <c r="G29" s="23" t="n">
        <f aca="false">IF(B29="","",MONTH(B29))</f>
        <v>2</v>
      </c>
      <c r="H29" s="23" t="n">
        <f aca="false">IF(B29="","",YEAR(B29))</f>
        <v>2027</v>
      </c>
    </row>
    <row r="30" customFormat="false" ht="15" hidden="false" customHeight="false" outlineLevel="0" collapsed="false">
      <c r="B30" s="21" t="n">
        <v>46421</v>
      </c>
      <c r="C30" s="16" t="s">
        <v>71</v>
      </c>
      <c r="D30" s="16" t="s">
        <v>36</v>
      </c>
      <c r="E30" s="17" t="n">
        <v>159.84</v>
      </c>
      <c r="F30" s="22" t="str">
        <f aca="false">IF(D30="","",IFERROR(INDEX(Setup!$C$8:$C$37,MATCH(D30,Setup!$B$8:$B$37,0)),"Check category"))</f>
        <v>Needs</v>
      </c>
      <c r="G30" s="23" t="n">
        <f aca="false">IF(B30="","",MONTH(B30))</f>
        <v>2</v>
      </c>
      <c r="H30" s="23" t="n">
        <f aca="false">IF(B30="","",YEAR(B30))</f>
        <v>2027</v>
      </c>
    </row>
    <row r="31" customFormat="false" ht="15" hidden="false" customHeight="false" outlineLevel="0" collapsed="false">
      <c r="B31" s="21" t="n">
        <v>46422</v>
      </c>
      <c r="C31" s="16" t="s">
        <v>72</v>
      </c>
      <c r="D31" s="16" t="s">
        <v>38</v>
      </c>
      <c r="E31" s="17" t="n">
        <v>112.69</v>
      </c>
      <c r="F31" s="22" t="str">
        <f aca="false">IF(D31="","",IFERROR(INDEX(Setup!$C$8:$C$37,MATCH(D31,Setup!$B$8:$B$37,0)),"Check category"))</f>
        <v>Needs</v>
      </c>
      <c r="G31" s="23" t="n">
        <f aca="false">IF(B31="","",MONTH(B31))</f>
        <v>2</v>
      </c>
      <c r="H31" s="23" t="n">
        <f aca="false">IF(B31="","",YEAR(B31))</f>
        <v>2027</v>
      </c>
    </row>
    <row r="32" customFormat="false" ht="15" hidden="false" customHeight="false" outlineLevel="0" collapsed="false">
      <c r="B32" s="21" t="n">
        <v>46423</v>
      </c>
      <c r="C32" s="16" t="s">
        <v>73</v>
      </c>
      <c r="D32" s="16" t="s">
        <v>40</v>
      </c>
      <c r="E32" s="17" t="n">
        <v>180</v>
      </c>
      <c r="F32" s="22" t="str">
        <f aca="false">IF(D32="","",IFERROR(INDEX(Setup!$C$8:$C$37,MATCH(D32,Setup!$B$8:$B$37,0)),"Check category"))</f>
        <v>Needs</v>
      </c>
      <c r="G32" s="23" t="n">
        <f aca="false">IF(B32="","",MONTH(B32))</f>
        <v>2</v>
      </c>
      <c r="H32" s="23" t="n">
        <f aca="false">IF(B32="","",YEAR(B32))</f>
        <v>2027</v>
      </c>
    </row>
    <row r="33" customFormat="false" ht="15" hidden="false" customHeight="false" outlineLevel="0" collapsed="false">
      <c r="B33" s="21" t="n">
        <v>46424</v>
      </c>
      <c r="C33" s="16" t="s">
        <v>74</v>
      </c>
      <c r="D33" s="16" t="s">
        <v>50</v>
      </c>
      <c r="E33" s="17" t="n">
        <v>45</v>
      </c>
      <c r="F33" s="22" t="str">
        <f aca="false">IF(D33="","",IFERROR(INDEX(Setup!$C$8:$C$37,MATCH(D33,Setup!$B$8:$B$37,0)),"Check category"))</f>
        <v>Wants</v>
      </c>
      <c r="G33" s="23" t="n">
        <f aca="false">IF(B33="","",MONTH(B33))</f>
        <v>2</v>
      </c>
      <c r="H33" s="23" t="n">
        <f aca="false">IF(B33="","",YEAR(B33))</f>
        <v>2027</v>
      </c>
    </row>
    <row r="34" customFormat="false" ht="15" hidden="false" customHeight="false" outlineLevel="0" collapsed="false">
      <c r="B34" s="21" t="n">
        <v>46426</v>
      </c>
      <c r="C34" s="16" t="s">
        <v>75</v>
      </c>
      <c r="D34" s="16" t="s">
        <v>46</v>
      </c>
      <c r="E34" s="17" t="n">
        <v>41.19</v>
      </c>
      <c r="F34" s="22" t="str">
        <f aca="false">IF(D34="","",IFERROR(INDEX(Setup!$C$8:$C$37,MATCH(D34,Setup!$B$8:$B$37,0)),"Check category"))</f>
        <v>Wants</v>
      </c>
      <c r="G34" s="23" t="n">
        <f aca="false">IF(B34="","",MONTH(B34))</f>
        <v>2</v>
      </c>
      <c r="H34" s="23" t="n">
        <f aca="false">IF(B34="","",YEAR(B34))</f>
        <v>2027</v>
      </c>
    </row>
    <row r="35" customFormat="false" ht="15" hidden="false" customHeight="false" outlineLevel="0" collapsed="false">
      <c r="B35" s="21" t="n">
        <v>46429</v>
      </c>
      <c r="C35" s="16" t="s">
        <v>72</v>
      </c>
      <c r="D35" s="16" t="s">
        <v>38</v>
      </c>
      <c r="E35" s="17" t="n">
        <v>101.96</v>
      </c>
      <c r="F35" s="22" t="str">
        <f aca="false">IF(D35="","",IFERROR(INDEX(Setup!$C$8:$C$37,MATCH(D35,Setup!$B$8:$B$37,0)),"Check category"))</f>
        <v>Needs</v>
      </c>
      <c r="G35" s="23" t="n">
        <f aca="false">IF(B35="","",MONTH(B35))</f>
        <v>2</v>
      </c>
      <c r="H35" s="23" t="n">
        <f aca="false">IF(B35="","",YEAR(B35))</f>
        <v>2027</v>
      </c>
    </row>
    <row r="36" customFormat="false" ht="15" hidden="false" customHeight="false" outlineLevel="0" collapsed="false">
      <c r="B36" s="21" t="n">
        <v>46430</v>
      </c>
      <c r="C36" s="16" t="s">
        <v>76</v>
      </c>
      <c r="D36" s="16" t="s">
        <v>44</v>
      </c>
      <c r="E36" s="17" t="n">
        <v>90</v>
      </c>
      <c r="F36" s="22" t="str">
        <f aca="false">IF(D36="","",IFERROR(INDEX(Setup!$C$8:$C$37,MATCH(D36,Setup!$B$8:$B$37,0)),"Check category"))</f>
        <v>Needs</v>
      </c>
      <c r="G36" s="23" t="n">
        <f aca="false">IF(B36="","",MONTH(B36))</f>
        <v>2</v>
      </c>
      <c r="H36" s="23" t="n">
        <f aca="false">IF(B36="","",YEAR(B36))</f>
        <v>2027</v>
      </c>
    </row>
    <row r="37" customFormat="false" ht="15" hidden="false" customHeight="false" outlineLevel="0" collapsed="false">
      <c r="B37" s="21" t="n">
        <v>46432</v>
      </c>
      <c r="C37" s="16" t="s">
        <v>77</v>
      </c>
      <c r="D37" s="16" t="s">
        <v>31</v>
      </c>
      <c r="E37" s="17" t="n">
        <v>520</v>
      </c>
      <c r="F37" s="22" t="str">
        <f aca="false">IF(D37="","",IFERROR(INDEX(Setup!$C$8:$C$37,MATCH(D37,Setup!$B$8:$B$37,0)),"Check category"))</f>
        <v>Income</v>
      </c>
      <c r="G37" s="23" t="n">
        <f aca="false">IF(B37="","",MONTH(B37))</f>
        <v>2</v>
      </c>
      <c r="H37" s="23" t="n">
        <f aca="false">IF(B37="","",YEAR(B37))</f>
        <v>2027</v>
      </c>
    </row>
    <row r="38" customFormat="false" ht="15" hidden="false" customHeight="false" outlineLevel="0" collapsed="false">
      <c r="B38" s="21" t="n">
        <v>46432</v>
      </c>
      <c r="C38" s="16" t="s">
        <v>84</v>
      </c>
      <c r="D38" s="16" t="s">
        <v>52</v>
      </c>
      <c r="E38" s="17" t="n">
        <v>65</v>
      </c>
      <c r="F38" s="22" t="str">
        <f aca="false">IF(D38="","",IFERROR(INDEX(Setup!$C$8:$C$37,MATCH(D38,Setup!$B$8:$B$37,0)),"Check category"))</f>
        <v>Wants</v>
      </c>
      <c r="G38" s="23" t="n">
        <f aca="false">IF(B38="","",MONTH(B38))</f>
        <v>2</v>
      </c>
      <c r="H38" s="23" t="n">
        <f aca="false">IF(B38="","",YEAR(B38))</f>
        <v>2027</v>
      </c>
    </row>
    <row r="39" customFormat="false" ht="15" hidden="false" customHeight="false" outlineLevel="0" collapsed="false">
      <c r="B39" s="21" t="n">
        <v>46433</v>
      </c>
      <c r="C39" s="16" t="s">
        <v>78</v>
      </c>
      <c r="D39" s="16" t="s">
        <v>57</v>
      </c>
      <c r="E39" s="17" t="n">
        <v>250</v>
      </c>
      <c r="F39" s="22" t="str">
        <f aca="false">IF(D39="","",IFERROR(INDEX(Setup!$C$8:$C$37,MATCH(D39,Setup!$B$8:$B$37,0)),"Check category"))</f>
        <v>Debt</v>
      </c>
      <c r="G39" s="23" t="n">
        <f aca="false">IF(B39="","",MONTH(B39))</f>
        <v>2</v>
      </c>
      <c r="H39" s="23" t="n">
        <f aca="false">IF(B39="","",YEAR(B39))</f>
        <v>2027</v>
      </c>
    </row>
    <row r="40" customFormat="false" ht="15" hidden="false" customHeight="false" outlineLevel="0" collapsed="false">
      <c r="B40" s="21" t="n">
        <v>46433</v>
      </c>
      <c r="C40" s="16" t="s">
        <v>59</v>
      </c>
      <c r="D40" s="16" t="s">
        <v>59</v>
      </c>
      <c r="E40" s="17" t="n">
        <v>150</v>
      </c>
      <c r="F40" s="22" t="str">
        <f aca="false">IF(D40="","",IFERROR(INDEX(Setup!$C$8:$C$37,MATCH(D40,Setup!$B$8:$B$37,0)),"Check category"))</f>
        <v>Debt</v>
      </c>
      <c r="G40" s="23" t="n">
        <f aca="false">IF(B40="","",MONTH(B40))</f>
        <v>2</v>
      </c>
      <c r="H40" s="23" t="n">
        <f aca="false">IF(B40="","",YEAR(B40))</f>
        <v>2027</v>
      </c>
    </row>
    <row r="41" customFormat="false" ht="15" hidden="false" customHeight="false" outlineLevel="0" collapsed="false">
      <c r="B41" s="21" t="n">
        <v>46435</v>
      </c>
      <c r="C41" s="16" t="s">
        <v>79</v>
      </c>
      <c r="D41" s="16" t="s">
        <v>49</v>
      </c>
      <c r="E41" s="17" t="n">
        <v>36.25</v>
      </c>
      <c r="F41" s="22" t="str">
        <f aca="false">IF(D41="","",IFERROR(INDEX(Setup!$C$8:$C$37,MATCH(D41,Setup!$B$8:$B$37,0)),"Check category"))</f>
        <v>Wants</v>
      </c>
      <c r="G41" s="23" t="n">
        <f aca="false">IF(B41="","",MONTH(B41))</f>
        <v>2</v>
      </c>
      <c r="H41" s="23" t="n">
        <f aca="false">IF(B41="","",YEAR(B41))</f>
        <v>2027</v>
      </c>
    </row>
    <row r="42" customFormat="false" ht="15" hidden="false" customHeight="false" outlineLevel="0" collapsed="false">
      <c r="B42" s="21" t="n">
        <v>46436</v>
      </c>
      <c r="C42" s="16" t="s">
        <v>72</v>
      </c>
      <c r="D42" s="16" t="s">
        <v>38</v>
      </c>
      <c r="E42" s="17" t="n">
        <v>114.07</v>
      </c>
      <c r="F42" s="22" t="str">
        <f aca="false">IF(D42="","",IFERROR(INDEX(Setup!$C$8:$C$37,MATCH(D42,Setup!$B$8:$B$37,0)),"Check category"))</f>
        <v>Needs</v>
      </c>
      <c r="G42" s="23" t="n">
        <f aca="false">IF(B42="","",MONTH(B42))</f>
        <v>2</v>
      </c>
      <c r="H42" s="23" t="n">
        <f aca="false">IF(B42="","",YEAR(B42))</f>
        <v>2027</v>
      </c>
    </row>
    <row r="43" customFormat="false" ht="15" hidden="false" customHeight="false" outlineLevel="0" collapsed="false">
      <c r="B43" s="21" t="n">
        <v>46438</v>
      </c>
      <c r="C43" s="16" t="s">
        <v>80</v>
      </c>
      <c r="D43" s="16" t="s">
        <v>48</v>
      </c>
      <c r="E43" s="17" t="n">
        <v>88.66</v>
      </c>
      <c r="F43" s="22" t="str">
        <f aca="false">IF(D43="","",IFERROR(INDEX(Setup!$C$8:$C$37,MATCH(D43,Setup!$B$8:$B$37,0)),"Check category"))</f>
        <v>Wants</v>
      </c>
      <c r="G43" s="23" t="n">
        <f aca="false">IF(B43="","",MONTH(B43))</f>
        <v>2</v>
      </c>
      <c r="H43" s="23" t="n">
        <f aca="false">IF(B43="","",YEAR(B43))</f>
        <v>2027</v>
      </c>
    </row>
    <row r="44" customFormat="false" ht="15" hidden="false" customHeight="false" outlineLevel="0" collapsed="false">
      <c r="B44" s="21" t="n">
        <v>46440</v>
      </c>
      <c r="C44" s="16" t="s">
        <v>81</v>
      </c>
      <c r="D44" s="16" t="s">
        <v>42</v>
      </c>
      <c r="E44" s="17" t="n">
        <v>160</v>
      </c>
      <c r="F44" s="22" t="str">
        <f aca="false">IF(D44="","",IFERROR(INDEX(Setup!$C$8:$C$37,MATCH(D44,Setup!$B$8:$B$37,0)),"Check category"))</f>
        <v>Needs</v>
      </c>
      <c r="G44" s="23" t="n">
        <f aca="false">IF(B44="","",MONTH(B44))</f>
        <v>2</v>
      </c>
      <c r="H44" s="23" t="n">
        <f aca="false">IF(B44="","",YEAR(B44))</f>
        <v>2027</v>
      </c>
    </row>
    <row r="45" customFormat="false" ht="15" hidden="false" customHeight="false" outlineLevel="0" collapsed="false">
      <c r="B45" s="21" t="n">
        <v>46442</v>
      </c>
      <c r="C45" s="16" t="s">
        <v>82</v>
      </c>
      <c r="D45" s="16" t="s">
        <v>46</v>
      </c>
      <c r="E45" s="17" t="n">
        <v>45.62</v>
      </c>
      <c r="F45" s="22" t="str">
        <f aca="false">IF(D45="","",IFERROR(INDEX(Setup!$C$8:$C$37,MATCH(D45,Setup!$B$8:$B$37,0)),"Check category"))</f>
        <v>Wants</v>
      </c>
      <c r="G45" s="23" t="n">
        <f aca="false">IF(B45="","",MONTH(B45))</f>
        <v>2</v>
      </c>
      <c r="H45" s="23" t="n">
        <f aca="false">IF(B45="","",YEAR(B45))</f>
        <v>2027</v>
      </c>
    </row>
    <row r="46" customFormat="false" ht="15" hidden="false" customHeight="false" outlineLevel="0" collapsed="false">
      <c r="B46" s="21" t="n">
        <v>46443</v>
      </c>
      <c r="C46" s="16" t="s">
        <v>72</v>
      </c>
      <c r="D46" s="16" t="s">
        <v>38</v>
      </c>
      <c r="E46" s="17" t="n">
        <v>123.33</v>
      </c>
      <c r="F46" s="22" t="str">
        <f aca="false">IF(D46="","",IFERROR(INDEX(Setup!$C$8:$C$37,MATCH(D46,Setup!$B$8:$B$37,0)),"Check category"))</f>
        <v>Needs</v>
      </c>
      <c r="G46" s="23" t="n">
        <f aca="false">IF(B46="","",MONTH(B46))</f>
        <v>2</v>
      </c>
      <c r="H46" s="23" t="n">
        <f aca="false">IF(B46="","",YEAR(B46))</f>
        <v>2027</v>
      </c>
    </row>
    <row r="47" customFormat="false" ht="15" hidden="false" customHeight="false" outlineLevel="0" collapsed="false">
      <c r="B47" s="21" t="n">
        <v>46445</v>
      </c>
      <c r="C47" s="16" t="s">
        <v>83</v>
      </c>
      <c r="D47" s="16" t="s">
        <v>40</v>
      </c>
      <c r="E47" s="17" t="n">
        <v>35.16</v>
      </c>
      <c r="F47" s="22" t="str">
        <f aca="false">IF(D47="","",IFERROR(INDEX(Setup!$C$8:$C$37,MATCH(D47,Setup!$B$8:$B$37,0)),"Check category"))</f>
        <v>Needs</v>
      </c>
      <c r="G47" s="23" t="n">
        <f aca="false">IF(B47="","",MONTH(B47))</f>
        <v>2</v>
      </c>
      <c r="H47" s="23" t="n">
        <f aca="false">IF(B47="","",YEAR(B47))</f>
        <v>2027</v>
      </c>
    </row>
    <row r="48" customFormat="false" ht="15" hidden="false" customHeight="false" outlineLevel="0" collapsed="false">
      <c r="B48" s="21" t="n">
        <v>46447</v>
      </c>
      <c r="C48" s="16" t="s">
        <v>67</v>
      </c>
      <c r="D48" s="16" t="s">
        <v>28</v>
      </c>
      <c r="E48" s="17" t="n">
        <v>4200</v>
      </c>
      <c r="F48" s="22" t="str">
        <f aca="false">IF(D48="","",IFERROR(INDEX(Setup!$C$8:$C$37,MATCH(D48,Setup!$B$8:$B$37,0)),"Check category"))</f>
        <v>Income</v>
      </c>
      <c r="G48" s="23" t="n">
        <f aca="false">IF(B48="","",MONTH(B48))</f>
        <v>3</v>
      </c>
      <c r="H48" s="23" t="n">
        <f aca="false">IF(B48="","",YEAR(B48))</f>
        <v>2027</v>
      </c>
    </row>
    <row r="49" customFormat="false" ht="15" hidden="false" customHeight="false" outlineLevel="0" collapsed="false">
      <c r="B49" s="21" t="n">
        <v>46447</v>
      </c>
      <c r="C49" s="16" t="s">
        <v>68</v>
      </c>
      <c r="D49" s="16" t="s">
        <v>33</v>
      </c>
      <c r="E49" s="17" t="n">
        <v>1350</v>
      </c>
      <c r="F49" s="22" t="str">
        <f aca="false">IF(D49="","",IFERROR(INDEX(Setup!$C$8:$C$37,MATCH(D49,Setup!$B$8:$B$37,0)),"Check category"))</f>
        <v>Needs</v>
      </c>
      <c r="G49" s="23" t="n">
        <f aca="false">IF(B49="","",MONTH(B49))</f>
        <v>3</v>
      </c>
      <c r="H49" s="23" t="n">
        <f aca="false">IF(B49="","",YEAR(B49))</f>
        <v>2027</v>
      </c>
    </row>
    <row r="50" customFormat="false" ht="15" hidden="false" customHeight="false" outlineLevel="0" collapsed="false">
      <c r="B50" s="21" t="n">
        <v>46448</v>
      </c>
      <c r="C50" s="16" t="s">
        <v>69</v>
      </c>
      <c r="D50" s="16" t="s">
        <v>53</v>
      </c>
      <c r="E50" s="17" t="n">
        <v>500</v>
      </c>
      <c r="F50" s="22" t="str">
        <f aca="false">IF(D50="","",IFERROR(INDEX(Setup!$C$8:$C$37,MATCH(D50,Setup!$B$8:$B$37,0)),"Check category"))</f>
        <v>Savings</v>
      </c>
      <c r="G50" s="23" t="n">
        <f aca="false">IF(B50="","",MONTH(B50))</f>
        <v>3</v>
      </c>
      <c r="H50" s="23" t="n">
        <f aca="false">IF(B50="","",YEAR(B50))</f>
        <v>2027</v>
      </c>
    </row>
    <row r="51" customFormat="false" ht="15" hidden="false" customHeight="false" outlineLevel="0" collapsed="false">
      <c r="B51" s="21" t="n">
        <v>46448</v>
      </c>
      <c r="C51" s="16" t="s">
        <v>70</v>
      </c>
      <c r="D51" s="16" t="s">
        <v>55</v>
      </c>
      <c r="E51" s="17" t="n">
        <v>445</v>
      </c>
      <c r="F51" s="22" t="str">
        <f aca="false">IF(D51="","",IFERROR(INDEX(Setup!$C$8:$C$37,MATCH(D51,Setup!$B$8:$B$37,0)),"Check category"))</f>
        <v>Savings</v>
      </c>
      <c r="G51" s="23" t="n">
        <f aca="false">IF(B51="","",MONTH(B51))</f>
        <v>3</v>
      </c>
      <c r="H51" s="23" t="n">
        <f aca="false">IF(B51="","",YEAR(B51))</f>
        <v>2027</v>
      </c>
    </row>
    <row r="52" customFormat="false" ht="15" hidden="false" customHeight="false" outlineLevel="0" collapsed="false">
      <c r="B52" s="21" t="n">
        <v>46449</v>
      </c>
      <c r="C52" s="16" t="s">
        <v>71</v>
      </c>
      <c r="D52" s="16" t="s">
        <v>36</v>
      </c>
      <c r="E52" s="17" t="n">
        <v>186.26</v>
      </c>
      <c r="F52" s="22" t="str">
        <f aca="false">IF(D52="","",IFERROR(INDEX(Setup!$C$8:$C$37,MATCH(D52,Setup!$B$8:$B$37,0)),"Check category"))</f>
        <v>Needs</v>
      </c>
      <c r="G52" s="23" t="n">
        <f aca="false">IF(B52="","",MONTH(B52))</f>
        <v>3</v>
      </c>
      <c r="H52" s="23" t="n">
        <f aca="false">IF(B52="","",YEAR(B52))</f>
        <v>2027</v>
      </c>
    </row>
    <row r="53" customFormat="false" ht="15" hidden="false" customHeight="false" outlineLevel="0" collapsed="false">
      <c r="B53" s="21" t="n">
        <v>46450</v>
      </c>
      <c r="C53" s="16" t="s">
        <v>72</v>
      </c>
      <c r="D53" s="16" t="s">
        <v>38</v>
      </c>
      <c r="E53" s="17" t="n">
        <v>119.43</v>
      </c>
      <c r="F53" s="22" t="str">
        <f aca="false">IF(D53="","",IFERROR(INDEX(Setup!$C$8:$C$37,MATCH(D53,Setup!$B$8:$B$37,0)),"Check category"))</f>
        <v>Needs</v>
      </c>
      <c r="G53" s="23" t="n">
        <f aca="false">IF(B53="","",MONTH(B53))</f>
        <v>3</v>
      </c>
      <c r="H53" s="23" t="n">
        <f aca="false">IF(B53="","",YEAR(B53))</f>
        <v>2027</v>
      </c>
    </row>
    <row r="54" customFormat="false" ht="15" hidden="false" customHeight="false" outlineLevel="0" collapsed="false">
      <c r="B54" s="21" t="n">
        <v>46451</v>
      </c>
      <c r="C54" s="16" t="s">
        <v>73</v>
      </c>
      <c r="D54" s="16" t="s">
        <v>40</v>
      </c>
      <c r="E54" s="17" t="n">
        <v>180</v>
      </c>
      <c r="F54" s="22" t="str">
        <f aca="false">IF(D54="","",IFERROR(INDEX(Setup!$C$8:$C$37,MATCH(D54,Setup!$B$8:$B$37,0)),"Check category"))</f>
        <v>Needs</v>
      </c>
      <c r="G54" s="23" t="n">
        <f aca="false">IF(B54="","",MONTH(B54))</f>
        <v>3</v>
      </c>
      <c r="H54" s="23" t="n">
        <f aca="false">IF(B54="","",YEAR(B54))</f>
        <v>2027</v>
      </c>
    </row>
    <row r="55" customFormat="false" ht="15" hidden="false" customHeight="false" outlineLevel="0" collapsed="false">
      <c r="B55" s="21" t="n">
        <v>46452</v>
      </c>
      <c r="C55" s="16" t="s">
        <v>74</v>
      </c>
      <c r="D55" s="16" t="s">
        <v>50</v>
      </c>
      <c r="E55" s="17" t="n">
        <v>45</v>
      </c>
      <c r="F55" s="22" t="str">
        <f aca="false">IF(D55="","",IFERROR(INDEX(Setup!$C$8:$C$37,MATCH(D55,Setup!$B$8:$B$37,0)),"Check category"))</f>
        <v>Wants</v>
      </c>
      <c r="G55" s="23" t="n">
        <f aca="false">IF(B55="","",MONTH(B55))</f>
        <v>3</v>
      </c>
      <c r="H55" s="23" t="n">
        <f aca="false">IF(B55="","",YEAR(B55))</f>
        <v>2027</v>
      </c>
    </row>
    <row r="56" customFormat="false" ht="15" hidden="false" customHeight="false" outlineLevel="0" collapsed="false">
      <c r="B56" s="21" t="n">
        <v>46454</v>
      </c>
      <c r="C56" s="16" t="s">
        <v>75</v>
      </c>
      <c r="D56" s="16" t="s">
        <v>46</v>
      </c>
      <c r="E56" s="17" t="n">
        <v>55.31</v>
      </c>
      <c r="F56" s="22" t="str">
        <f aca="false">IF(D56="","",IFERROR(INDEX(Setup!$C$8:$C$37,MATCH(D56,Setup!$B$8:$B$37,0)),"Check category"))</f>
        <v>Wants</v>
      </c>
      <c r="G56" s="23" t="n">
        <f aca="false">IF(B56="","",MONTH(B56))</f>
        <v>3</v>
      </c>
      <c r="H56" s="23" t="n">
        <f aca="false">IF(B56="","",YEAR(B56))</f>
        <v>2027</v>
      </c>
    </row>
    <row r="57" customFormat="false" ht="15" hidden="false" customHeight="false" outlineLevel="0" collapsed="false">
      <c r="B57" s="21" t="n">
        <v>46455</v>
      </c>
      <c r="C57" s="16" t="s">
        <v>85</v>
      </c>
      <c r="D57" s="16" t="s">
        <v>45</v>
      </c>
      <c r="E57" s="17" t="n">
        <v>28.5</v>
      </c>
      <c r="F57" s="22" t="str">
        <f aca="false">IF(D57="","",IFERROR(INDEX(Setup!$C$8:$C$37,MATCH(D57,Setup!$B$8:$B$37,0)),"Check category"))</f>
        <v>Needs</v>
      </c>
      <c r="G57" s="23" t="n">
        <f aca="false">IF(B57="","",MONTH(B57))</f>
        <v>3</v>
      </c>
      <c r="H57" s="23" t="n">
        <f aca="false">IF(B57="","",YEAR(B57))</f>
        <v>2027</v>
      </c>
    </row>
    <row r="58" customFormat="false" ht="15" hidden="false" customHeight="false" outlineLevel="0" collapsed="false">
      <c r="B58" s="21" t="n">
        <v>46457</v>
      </c>
      <c r="C58" s="16" t="s">
        <v>72</v>
      </c>
      <c r="D58" s="16" t="s">
        <v>38</v>
      </c>
      <c r="E58" s="17" t="n">
        <v>100.44</v>
      </c>
      <c r="F58" s="22" t="str">
        <f aca="false">IF(D58="","",IFERROR(INDEX(Setup!$C$8:$C$37,MATCH(D58,Setup!$B$8:$B$37,0)),"Check category"))</f>
        <v>Needs</v>
      </c>
      <c r="G58" s="23" t="n">
        <f aca="false">IF(B58="","",MONTH(B58))</f>
        <v>3</v>
      </c>
      <c r="H58" s="23" t="n">
        <f aca="false">IF(B58="","",YEAR(B58))</f>
        <v>2027</v>
      </c>
    </row>
    <row r="59" customFormat="false" ht="15" hidden="false" customHeight="false" outlineLevel="0" collapsed="false">
      <c r="B59" s="21" t="n">
        <v>46458</v>
      </c>
      <c r="C59" s="16" t="s">
        <v>76</v>
      </c>
      <c r="D59" s="16" t="s">
        <v>44</v>
      </c>
      <c r="E59" s="17" t="n">
        <v>90</v>
      </c>
      <c r="F59" s="22" t="str">
        <f aca="false">IF(D59="","",IFERROR(INDEX(Setup!$C$8:$C$37,MATCH(D59,Setup!$B$8:$B$37,0)),"Check category"))</f>
        <v>Needs</v>
      </c>
      <c r="G59" s="23" t="n">
        <f aca="false">IF(B59="","",MONTH(B59))</f>
        <v>3</v>
      </c>
      <c r="H59" s="23" t="n">
        <f aca="false">IF(B59="","",YEAR(B59))</f>
        <v>2027</v>
      </c>
    </row>
    <row r="60" customFormat="false" ht="15" hidden="false" customHeight="false" outlineLevel="0" collapsed="false">
      <c r="B60" s="21" t="n">
        <v>46460</v>
      </c>
      <c r="C60" s="16" t="s">
        <v>77</v>
      </c>
      <c r="D60" s="16" t="s">
        <v>31</v>
      </c>
      <c r="E60" s="17" t="n">
        <v>400</v>
      </c>
      <c r="F60" s="22" t="str">
        <f aca="false">IF(D60="","",IFERROR(INDEX(Setup!$C$8:$C$37,MATCH(D60,Setup!$B$8:$B$37,0)),"Check category"))</f>
        <v>Income</v>
      </c>
      <c r="G60" s="23" t="n">
        <f aca="false">IF(B60="","",MONTH(B60))</f>
        <v>3</v>
      </c>
      <c r="H60" s="23" t="n">
        <f aca="false">IF(B60="","",YEAR(B60))</f>
        <v>2027</v>
      </c>
    </row>
    <row r="61" customFormat="false" ht="15" hidden="false" customHeight="false" outlineLevel="0" collapsed="false">
      <c r="B61" s="21" t="n">
        <v>46461</v>
      </c>
      <c r="C61" s="16" t="s">
        <v>78</v>
      </c>
      <c r="D61" s="16" t="s">
        <v>57</v>
      </c>
      <c r="E61" s="17" t="n">
        <v>250</v>
      </c>
      <c r="F61" s="22" t="str">
        <f aca="false">IF(D61="","",IFERROR(INDEX(Setup!$C$8:$C$37,MATCH(D61,Setup!$B$8:$B$37,0)),"Check category"))</f>
        <v>Debt</v>
      </c>
      <c r="G61" s="23" t="n">
        <f aca="false">IF(B61="","",MONTH(B61))</f>
        <v>3</v>
      </c>
      <c r="H61" s="23" t="n">
        <f aca="false">IF(B61="","",YEAR(B61))</f>
        <v>2027</v>
      </c>
    </row>
    <row r="62" customFormat="false" ht="15" hidden="false" customHeight="false" outlineLevel="0" collapsed="false">
      <c r="B62" s="21" t="n">
        <v>46461</v>
      </c>
      <c r="C62" s="16" t="s">
        <v>59</v>
      </c>
      <c r="D62" s="16" t="s">
        <v>59</v>
      </c>
      <c r="E62" s="17" t="n">
        <v>150</v>
      </c>
      <c r="F62" s="22" t="str">
        <f aca="false">IF(D62="","",IFERROR(INDEX(Setup!$C$8:$C$37,MATCH(D62,Setup!$B$8:$B$37,0)),"Check category"))</f>
        <v>Debt</v>
      </c>
      <c r="G62" s="23" t="n">
        <f aca="false">IF(B62="","",MONTH(B62))</f>
        <v>3</v>
      </c>
      <c r="H62" s="23" t="n">
        <f aca="false">IF(B62="","",YEAR(B62))</f>
        <v>2027</v>
      </c>
    </row>
    <row r="63" customFormat="false" ht="15" hidden="false" customHeight="false" outlineLevel="0" collapsed="false">
      <c r="B63" s="21" t="n">
        <v>46463</v>
      </c>
      <c r="C63" s="16" t="s">
        <v>79</v>
      </c>
      <c r="D63" s="16" t="s">
        <v>49</v>
      </c>
      <c r="E63" s="17" t="n">
        <v>43.93</v>
      </c>
      <c r="F63" s="22" t="str">
        <f aca="false">IF(D63="","",IFERROR(INDEX(Setup!$C$8:$C$37,MATCH(D63,Setup!$B$8:$B$37,0)),"Check category"))</f>
        <v>Wants</v>
      </c>
      <c r="G63" s="23" t="n">
        <f aca="false">IF(B63="","",MONTH(B63))</f>
        <v>3</v>
      </c>
      <c r="H63" s="23" t="n">
        <f aca="false">IF(B63="","",YEAR(B63))</f>
        <v>2027</v>
      </c>
    </row>
    <row r="64" customFormat="false" ht="15" hidden="false" customHeight="false" outlineLevel="0" collapsed="false">
      <c r="B64" s="21" t="n">
        <v>46464</v>
      </c>
      <c r="C64" s="16" t="s">
        <v>72</v>
      </c>
      <c r="D64" s="16" t="s">
        <v>38</v>
      </c>
      <c r="E64" s="17" t="n">
        <v>106.78</v>
      </c>
      <c r="F64" s="22" t="str">
        <f aca="false">IF(D64="","",IFERROR(INDEX(Setup!$C$8:$C$37,MATCH(D64,Setup!$B$8:$B$37,0)),"Check category"))</f>
        <v>Needs</v>
      </c>
      <c r="G64" s="23" t="n">
        <f aca="false">IF(B64="","",MONTH(B64))</f>
        <v>3</v>
      </c>
      <c r="H64" s="23" t="n">
        <f aca="false">IF(B64="","",YEAR(B64))</f>
        <v>2027</v>
      </c>
    </row>
    <row r="65" customFormat="false" ht="15" hidden="false" customHeight="false" outlineLevel="0" collapsed="false">
      <c r="B65" s="21" t="n">
        <v>46466</v>
      </c>
      <c r="C65" s="16" t="s">
        <v>80</v>
      </c>
      <c r="D65" s="16" t="s">
        <v>48</v>
      </c>
      <c r="E65" s="17" t="n">
        <v>72.06</v>
      </c>
      <c r="F65" s="22" t="str">
        <f aca="false">IF(D65="","",IFERROR(INDEX(Setup!$C$8:$C$37,MATCH(D65,Setup!$B$8:$B$37,0)),"Check category"))</f>
        <v>Wants</v>
      </c>
      <c r="G65" s="23" t="n">
        <f aca="false">IF(B65="","",MONTH(B65))</f>
        <v>3</v>
      </c>
      <c r="H65" s="23" t="n">
        <f aca="false">IF(B65="","",YEAR(B65))</f>
        <v>2027</v>
      </c>
    </row>
    <row r="66" customFormat="false" ht="15" hidden="false" customHeight="false" outlineLevel="0" collapsed="false">
      <c r="B66" s="21" t="n">
        <v>46468</v>
      </c>
      <c r="C66" s="16" t="s">
        <v>81</v>
      </c>
      <c r="D66" s="16" t="s">
        <v>42</v>
      </c>
      <c r="E66" s="17" t="n">
        <v>160</v>
      </c>
      <c r="F66" s="22" t="str">
        <f aca="false">IF(D66="","",IFERROR(INDEX(Setup!$C$8:$C$37,MATCH(D66,Setup!$B$8:$B$37,0)),"Check category"))</f>
        <v>Needs</v>
      </c>
      <c r="G66" s="23" t="n">
        <f aca="false">IF(B66="","",MONTH(B66))</f>
        <v>3</v>
      </c>
      <c r="H66" s="23" t="n">
        <f aca="false">IF(B66="","",YEAR(B66))</f>
        <v>2027</v>
      </c>
    </row>
    <row r="67" customFormat="false" ht="15" hidden="false" customHeight="false" outlineLevel="0" collapsed="false">
      <c r="B67" s="21" t="n">
        <v>46470</v>
      </c>
      <c r="C67" s="16" t="s">
        <v>82</v>
      </c>
      <c r="D67" s="16" t="s">
        <v>46</v>
      </c>
      <c r="E67" s="17" t="n">
        <v>28.39</v>
      </c>
      <c r="F67" s="22" t="str">
        <f aca="false">IF(D67="","",IFERROR(INDEX(Setup!$C$8:$C$37,MATCH(D67,Setup!$B$8:$B$37,0)),"Check category"))</f>
        <v>Wants</v>
      </c>
      <c r="G67" s="23" t="n">
        <f aca="false">IF(B67="","",MONTH(B67))</f>
        <v>3</v>
      </c>
      <c r="H67" s="23" t="n">
        <f aca="false">IF(B67="","",YEAR(B67))</f>
        <v>2027</v>
      </c>
    </row>
    <row r="68" customFormat="false" ht="15" hidden="false" customHeight="false" outlineLevel="0" collapsed="false">
      <c r="B68" s="21" t="n">
        <v>46471</v>
      </c>
      <c r="C68" s="16" t="s">
        <v>72</v>
      </c>
      <c r="D68" s="16" t="s">
        <v>38</v>
      </c>
      <c r="E68" s="17" t="n">
        <v>124.66</v>
      </c>
      <c r="F68" s="22" t="str">
        <f aca="false">IF(D68="","",IFERROR(INDEX(Setup!$C$8:$C$37,MATCH(D68,Setup!$B$8:$B$37,0)),"Check category"))</f>
        <v>Needs</v>
      </c>
      <c r="G68" s="23" t="n">
        <f aca="false">IF(B68="","",MONTH(B68))</f>
        <v>3</v>
      </c>
      <c r="H68" s="23" t="n">
        <f aca="false">IF(B68="","",YEAR(B68))</f>
        <v>2027</v>
      </c>
    </row>
    <row r="69" customFormat="false" ht="15" hidden="false" customHeight="false" outlineLevel="0" collapsed="false">
      <c r="B69" s="21" t="n">
        <v>46473</v>
      </c>
      <c r="C69" s="16" t="s">
        <v>83</v>
      </c>
      <c r="D69" s="16" t="s">
        <v>40</v>
      </c>
      <c r="E69" s="17" t="n">
        <v>50.09</v>
      </c>
      <c r="F69" s="22" t="str">
        <f aca="false">IF(D69="","",IFERROR(INDEX(Setup!$C$8:$C$37,MATCH(D69,Setup!$B$8:$B$37,0)),"Check category"))</f>
        <v>Needs</v>
      </c>
      <c r="G69" s="23" t="n">
        <f aca="false">IF(B69="","",MONTH(B69))</f>
        <v>3</v>
      </c>
      <c r="H69" s="23" t="n">
        <f aca="false">IF(B69="","",YEAR(B69))</f>
        <v>2027</v>
      </c>
    </row>
    <row r="70" customFormat="false" ht="15" hidden="false" customHeight="false" outlineLevel="0" collapsed="false">
      <c r="B70" s="21" t="n">
        <v>46474</v>
      </c>
      <c r="C70" s="16" t="s">
        <v>86</v>
      </c>
      <c r="D70" s="16" t="s">
        <v>51</v>
      </c>
      <c r="E70" s="17" t="n">
        <v>210</v>
      </c>
      <c r="F70" s="22" t="str">
        <f aca="false">IF(D70="","",IFERROR(INDEX(Setup!$C$8:$C$37,MATCH(D70,Setup!$B$8:$B$37,0)),"Check category"))</f>
        <v>Wants</v>
      </c>
      <c r="G70" s="23" t="n">
        <f aca="false">IF(B70="","",MONTH(B70))</f>
        <v>3</v>
      </c>
      <c r="H70" s="23" t="n">
        <f aca="false">IF(B70="","",YEAR(B70))</f>
        <v>2027</v>
      </c>
    </row>
    <row r="71" customFormat="false" ht="15" hidden="false" customHeight="false" outlineLevel="0" collapsed="false">
      <c r="B71" s="21"/>
      <c r="C71" s="16"/>
      <c r="D71" s="16"/>
      <c r="E71" s="17"/>
      <c r="F71" s="22" t="str">
        <f aca="false">IF(D71="","",IFERROR(INDEX(Setup!$C$8:$C$37,MATCH(D71,Setup!$B$8:$B$37,0)),"Check category"))</f>
        <v/>
      </c>
      <c r="G71" s="23" t="str">
        <f aca="false">IF(B71="","",MONTH(B71))</f>
        <v/>
      </c>
      <c r="H71" s="23" t="str">
        <f aca="false">IF(B71="","",YEAR(B71))</f>
        <v/>
      </c>
    </row>
    <row r="72" customFormat="false" ht="15" hidden="false" customHeight="false" outlineLevel="0" collapsed="false">
      <c r="B72" s="21"/>
      <c r="C72" s="16"/>
      <c r="D72" s="16"/>
      <c r="E72" s="17"/>
      <c r="F72" s="22" t="str">
        <f aca="false">IF(D72="","",IFERROR(INDEX(Setup!$C$8:$C$37,MATCH(D72,Setup!$B$8:$B$37,0)),"Check category"))</f>
        <v/>
      </c>
      <c r="G72" s="23" t="str">
        <f aca="false">IF(B72="","",MONTH(B72))</f>
        <v/>
      </c>
      <c r="H72" s="23" t="str">
        <f aca="false">IF(B72="","",YEAR(B72))</f>
        <v/>
      </c>
    </row>
    <row r="73" customFormat="false" ht="15" hidden="false" customHeight="false" outlineLevel="0" collapsed="false">
      <c r="B73" s="21"/>
      <c r="C73" s="16"/>
      <c r="D73" s="16"/>
      <c r="E73" s="17"/>
      <c r="F73" s="22" t="str">
        <f aca="false">IF(D73="","",IFERROR(INDEX(Setup!$C$8:$C$37,MATCH(D73,Setup!$B$8:$B$37,0)),"Check category"))</f>
        <v/>
      </c>
      <c r="G73" s="23" t="str">
        <f aca="false">IF(B73="","",MONTH(B73))</f>
        <v/>
      </c>
      <c r="H73" s="23" t="str">
        <f aca="false">IF(B73="","",YEAR(B73))</f>
        <v/>
      </c>
    </row>
    <row r="74" customFormat="false" ht="15" hidden="false" customHeight="false" outlineLevel="0" collapsed="false">
      <c r="B74" s="21"/>
      <c r="C74" s="16"/>
      <c r="D74" s="16"/>
      <c r="E74" s="17"/>
      <c r="F74" s="22" t="str">
        <f aca="false">IF(D74="","",IFERROR(INDEX(Setup!$C$8:$C$37,MATCH(D74,Setup!$B$8:$B$37,0)),"Check category"))</f>
        <v/>
      </c>
      <c r="G74" s="23" t="str">
        <f aca="false">IF(B74="","",MONTH(B74))</f>
        <v/>
      </c>
      <c r="H74" s="23" t="str">
        <f aca="false">IF(B74="","",YEAR(B74))</f>
        <v/>
      </c>
    </row>
    <row r="75" customFormat="false" ht="15" hidden="false" customHeight="false" outlineLevel="0" collapsed="false">
      <c r="B75" s="21"/>
      <c r="C75" s="16"/>
      <c r="D75" s="16"/>
      <c r="E75" s="17"/>
      <c r="F75" s="22" t="str">
        <f aca="false">IF(D75="","",IFERROR(INDEX(Setup!$C$8:$C$37,MATCH(D75,Setup!$B$8:$B$37,0)),"Check category"))</f>
        <v/>
      </c>
      <c r="G75" s="23" t="str">
        <f aca="false">IF(B75="","",MONTH(B75))</f>
        <v/>
      </c>
      <c r="H75" s="23" t="str">
        <f aca="false">IF(B75="","",YEAR(B75))</f>
        <v/>
      </c>
    </row>
    <row r="76" customFormat="false" ht="15" hidden="false" customHeight="false" outlineLevel="0" collapsed="false">
      <c r="B76" s="21"/>
      <c r="C76" s="16"/>
      <c r="D76" s="16"/>
      <c r="E76" s="17"/>
      <c r="F76" s="22" t="str">
        <f aca="false">IF(D76="","",IFERROR(INDEX(Setup!$C$8:$C$37,MATCH(D76,Setup!$B$8:$B$37,0)),"Check category"))</f>
        <v/>
      </c>
      <c r="G76" s="23" t="str">
        <f aca="false">IF(B76="","",MONTH(B76))</f>
        <v/>
      </c>
      <c r="H76" s="23" t="str">
        <f aca="false">IF(B76="","",YEAR(B76))</f>
        <v/>
      </c>
    </row>
    <row r="77" customFormat="false" ht="15" hidden="false" customHeight="false" outlineLevel="0" collapsed="false">
      <c r="B77" s="21"/>
      <c r="C77" s="16"/>
      <c r="D77" s="16"/>
      <c r="E77" s="17"/>
      <c r="F77" s="22" t="str">
        <f aca="false">IF(D77="","",IFERROR(INDEX(Setup!$C$8:$C$37,MATCH(D77,Setup!$B$8:$B$37,0)),"Check category"))</f>
        <v/>
      </c>
      <c r="G77" s="23" t="str">
        <f aca="false">IF(B77="","",MONTH(B77))</f>
        <v/>
      </c>
      <c r="H77" s="23" t="str">
        <f aca="false">IF(B77="","",YEAR(B77))</f>
        <v/>
      </c>
    </row>
    <row r="78" customFormat="false" ht="15" hidden="false" customHeight="false" outlineLevel="0" collapsed="false">
      <c r="B78" s="21"/>
      <c r="C78" s="16"/>
      <c r="D78" s="16"/>
      <c r="E78" s="17"/>
      <c r="F78" s="22" t="str">
        <f aca="false">IF(D78="","",IFERROR(INDEX(Setup!$C$8:$C$37,MATCH(D78,Setup!$B$8:$B$37,0)),"Check category"))</f>
        <v/>
      </c>
      <c r="G78" s="23" t="str">
        <f aca="false">IF(B78="","",MONTH(B78))</f>
        <v/>
      </c>
      <c r="H78" s="23" t="str">
        <f aca="false">IF(B78="","",YEAR(B78))</f>
        <v/>
      </c>
    </row>
    <row r="79" customFormat="false" ht="15" hidden="false" customHeight="false" outlineLevel="0" collapsed="false">
      <c r="B79" s="21"/>
      <c r="C79" s="16"/>
      <c r="D79" s="16"/>
      <c r="E79" s="17"/>
      <c r="F79" s="22" t="str">
        <f aca="false">IF(D79="","",IFERROR(INDEX(Setup!$C$8:$C$37,MATCH(D79,Setup!$B$8:$B$37,0)),"Check category"))</f>
        <v/>
      </c>
      <c r="G79" s="23" t="str">
        <f aca="false">IF(B79="","",MONTH(B79))</f>
        <v/>
      </c>
      <c r="H79" s="23" t="str">
        <f aca="false">IF(B79="","",YEAR(B79))</f>
        <v/>
      </c>
    </row>
    <row r="80" customFormat="false" ht="15" hidden="false" customHeight="false" outlineLevel="0" collapsed="false">
      <c r="B80" s="21"/>
      <c r="C80" s="16"/>
      <c r="D80" s="16"/>
      <c r="E80" s="17"/>
      <c r="F80" s="22" t="str">
        <f aca="false">IF(D80="","",IFERROR(INDEX(Setup!$C$8:$C$37,MATCH(D80,Setup!$B$8:$B$37,0)),"Check category"))</f>
        <v/>
      </c>
      <c r="G80" s="23" t="str">
        <f aca="false">IF(B80="","",MONTH(B80))</f>
        <v/>
      </c>
      <c r="H80" s="23" t="str">
        <f aca="false">IF(B80="","",YEAR(B80))</f>
        <v/>
      </c>
    </row>
    <row r="81" customFormat="false" ht="15" hidden="false" customHeight="false" outlineLevel="0" collapsed="false">
      <c r="B81" s="21"/>
      <c r="C81" s="16"/>
      <c r="D81" s="16"/>
      <c r="E81" s="17"/>
      <c r="F81" s="22" t="str">
        <f aca="false">IF(D81="","",IFERROR(INDEX(Setup!$C$8:$C$37,MATCH(D81,Setup!$B$8:$B$37,0)),"Check category"))</f>
        <v/>
      </c>
      <c r="G81" s="23" t="str">
        <f aca="false">IF(B81="","",MONTH(B81))</f>
        <v/>
      </c>
      <c r="H81" s="23" t="str">
        <f aca="false">IF(B81="","",YEAR(B81))</f>
        <v/>
      </c>
    </row>
    <row r="82" customFormat="false" ht="15" hidden="false" customHeight="false" outlineLevel="0" collapsed="false">
      <c r="B82" s="21"/>
      <c r="C82" s="16"/>
      <c r="D82" s="16"/>
      <c r="E82" s="17"/>
      <c r="F82" s="22" t="str">
        <f aca="false">IF(D82="","",IFERROR(INDEX(Setup!$C$8:$C$37,MATCH(D82,Setup!$B$8:$B$37,0)),"Check category"))</f>
        <v/>
      </c>
      <c r="G82" s="23" t="str">
        <f aca="false">IF(B82="","",MONTH(B82))</f>
        <v/>
      </c>
      <c r="H82" s="23" t="str">
        <f aca="false">IF(B82="","",YEAR(B82))</f>
        <v/>
      </c>
    </row>
    <row r="83" customFormat="false" ht="15" hidden="false" customHeight="false" outlineLevel="0" collapsed="false">
      <c r="B83" s="21"/>
      <c r="C83" s="16"/>
      <c r="D83" s="16"/>
      <c r="E83" s="17"/>
      <c r="F83" s="22" t="str">
        <f aca="false">IF(D83="","",IFERROR(INDEX(Setup!$C$8:$C$37,MATCH(D83,Setup!$B$8:$B$37,0)),"Check category"))</f>
        <v/>
      </c>
      <c r="G83" s="23" t="str">
        <f aca="false">IF(B83="","",MONTH(B83))</f>
        <v/>
      </c>
      <c r="H83" s="23" t="str">
        <f aca="false">IF(B83="","",YEAR(B83))</f>
        <v/>
      </c>
    </row>
    <row r="84" customFormat="false" ht="15" hidden="false" customHeight="false" outlineLevel="0" collapsed="false">
      <c r="B84" s="21"/>
      <c r="C84" s="16"/>
      <c r="D84" s="16"/>
      <c r="E84" s="17"/>
      <c r="F84" s="22" t="str">
        <f aca="false">IF(D84="","",IFERROR(INDEX(Setup!$C$8:$C$37,MATCH(D84,Setup!$B$8:$B$37,0)),"Check category"))</f>
        <v/>
      </c>
      <c r="G84" s="23" t="str">
        <f aca="false">IF(B84="","",MONTH(B84))</f>
        <v/>
      </c>
      <c r="H84" s="23" t="str">
        <f aca="false">IF(B84="","",YEAR(B84))</f>
        <v/>
      </c>
    </row>
    <row r="85" customFormat="false" ht="15" hidden="false" customHeight="false" outlineLevel="0" collapsed="false">
      <c r="B85" s="21"/>
      <c r="C85" s="16"/>
      <c r="D85" s="16"/>
      <c r="E85" s="17"/>
      <c r="F85" s="22" t="str">
        <f aca="false">IF(D85="","",IFERROR(INDEX(Setup!$C$8:$C$37,MATCH(D85,Setup!$B$8:$B$37,0)),"Check category"))</f>
        <v/>
      </c>
      <c r="G85" s="23" t="str">
        <f aca="false">IF(B85="","",MONTH(B85))</f>
        <v/>
      </c>
      <c r="H85" s="23" t="str">
        <f aca="false">IF(B85="","",YEAR(B85))</f>
        <v/>
      </c>
    </row>
    <row r="86" customFormat="false" ht="15" hidden="false" customHeight="false" outlineLevel="0" collapsed="false">
      <c r="B86" s="21"/>
      <c r="C86" s="16"/>
      <c r="D86" s="16"/>
      <c r="E86" s="17"/>
      <c r="F86" s="22" t="str">
        <f aca="false">IF(D86="","",IFERROR(INDEX(Setup!$C$8:$C$37,MATCH(D86,Setup!$B$8:$B$37,0)),"Check category"))</f>
        <v/>
      </c>
      <c r="G86" s="23" t="str">
        <f aca="false">IF(B86="","",MONTH(B86))</f>
        <v/>
      </c>
      <c r="H86" s="23" t="str">
        <f aca="false">IF(B86="","",YEAR(B86))</f>
        <v/>
      </c>
    </row>
    <row r="87" customFormat="false" ht="15" hidden="false" customHeight="false" outlineLevel="0" collapsed="false">
      <c r="B87" s="21"/>
      <c r="C87" s="16"/>
      <c r="D87" s="16"/>
      <c r="E87" s="17"/>
      <c r="F87" s="22" t="str">
        <f aca="false">IF(D87="","",IFERROR(INDEX(Setup!$C$8:$C$37,MATCH(D87,Setup!$B$8:$B$37,0)),"Check category"))</f>
        <v/>
      </c>
      <c r="G87" s="23" t="str">
        <f aca="false">IF(B87="","",MONTH(B87))</f>
        <v/>
      </c>
      <c r="H87" s="23" t="str">
        <f aca="false">IF(B87="","",YEAR(B87))</f>
        <v/>
      </c>
    </row>
    <row r="88" customFormat="false" ht="15" hidden="false" customHeight="false" outlineLevel="0" collapsed="false">
      <c r="B88" s="21"/>
      <c r="C88" s="16"/>
      <c r="D88" s="16"/>
      <c r="E88" s="17"/>
      <c r="F88" s="22" t="str">
        <f aca="false">IF(D88="","",IFERROR(INDEX(Setup!$C$8:$C$37,MATCH(D88,Setup!$B$8:$B$37,0)),"Check category"))</f>
        <v/>
      </c>
      <c r="G88" s="23" t="str">
        <f aca="false">IF(B88="","",MONTH(B88))</f>
        <v/>
      </c>
      <c r="H88" s="23" t="str">
        <f aca="false">IF(B88="","",YEAR(B88))</f>
        <v/>
      </c>
    </row>
    <row r="89" customFormat="false" ht="15" hidden="false" customHeight="false" outlineLevel="0" collapsed="false">
      <c r="B89" s="21"/>
      <c r="C89" s="16"/>
      <c r="D89" s="16"/>
      <c r="E89" s="17"/>
      <c r="F89" s="22" t="str">
        <f aca="false">IF(D89="","",IFERROR(INDEX(Setup!$C$8:$C$37,MATCH(D89,Setup!$B$8:$B$37,0)),"Check category"))</f>
        <v/>
      </c>
      <c r="G89" s="23" t="str">
        <f aca="false">IF(B89="","",MONTH(B89))</f>
        <v/>
      </c>
      <c r="H89" s="23" t="str">
        <f aca="false">IF(B89="","",YEAR(B89))</f>
        <v/>
      </c>
    </row>
    <row r="90" customFormat="false" ht="15" hidden="false" customHeight="false" outlineLevel="0" collapsed="false">
      <c r="B90" s="21"/>
      <c r="C90" s="16"/>
      <c r="D90" s="16"/>
      <c r="E90" s="17"/>
      <c r="F90" s="22" t="str">
        <f aca="false">IF(D90="","",IFERROR(INDEX(Setup!$C$8:$C$37,MATCH(D90,Setup!$B$8:$B$37,0)),"Check category"))</f>
        <v/>
      </c>
      <c r="G90" s="23" t="str">
        <f aca="false">IF(B90="","",MONTH(B90))</f>
        <v/>
      </c>
      <c r="H90" s="23" t="str">
        <f aca="false">IF(B90="","",YEAR(B90))</f>
        <v/>
      </c>
    </row>
    <row r="91" customFormat="false" ht="15" hidden="false" customHeight="false" outlineLevel="0" collapsed="false">
      <c r="B91" s="21"/>
      <c r="C91" s="16"/>
      <c r="D91" s="16"/>
      <c r="E91" s="17"/>
      <c r="F91" s="22" t="str">
        <f aca="false">IF(D91="","",IFERROR(INDEX(Setup!$C$8:$C$37,MATCH(D91,Setup!$B$8:$B$37,0)),"Check category"))</f>
        <v/>
      </c>
      <c r="G91" s="23" t="str">
        <f aca="false">IF(B91="","",MONTH(B91))</f>
        <v/>
      </c>
      <c r="H91" s="23" t="str">
        <f aca="false">IF(B91="","",YEAR(B91))</f>
        <v/>
      </c>
    </row>
    <row r="92" customFormat="false" ht="15" hidden="false" customHeight="false" outlineLevel="0" collapsed="false">
      <c r="B92" s="21"/>
      <c r="C92" s="16"/>
      <c r="D92" s="16"/>
      <c r="E92" s="17"/>
      <c r="F92" s="22" t="str">
        <f aca="false">IF(D92="","",IFERROR(INDEX(Setup!$C$8:$C$37,MATCH(D92,Setup!$B$8:$B$37,0)),"Check category"))</f>
        <v/>
      </c>
      <c r="G92" s="23" t="str">
        <f aca="false">IF(B92="","",MONTH(B92))</f>
        <v/>
      </c>
      <c r="H92" s="23" t="str">
        <f aca="false">IF(B92="","",YEAR(B92))</f>
        <v/>
      </c>
    </row>
    <row r="93" customFormat="false" ht="15" hidden="false" customHeight="false" outlineLevel="0" collapsed="false">
      <c r="B93" s="21"/>
      <c r="C93" s="16"/>
      <c r="D93" s="16"/>
      <c r="E93" s="17"/>
      <c r="F93" s="22" t="str">
        <f aca="false">IF(D93="","",IFERROR(INDEX(Setup!$C$8:$C$37,MATCH(D93,Setup!$B$8:$B$37,0)),"Check category"))</f>
        <v/>
      </c>
      <c r="G93" s="23" t="str">
        <f aca="false">IF(B93="","",MONTH(B93))</f>
        <v/>
      </c>
      <c r="H93" s="23" t="str">
        <f aca="false">IF(B93="","",YEAR(B93))</f>
        <v/>
      </c>
    </row>
    <row r="94" customFormat="false" ht="15" hidden="false" customHeight="false" outlineLevel="0" collapsed="false">
      <c r="B94" s="21"/>
      <c r="C94" s="16"/>
      <c r="D94" s="16"/>
      <c r="E94" s="17"/>
      <c r="F94" s="22" t="str">
        <f aca="false">IF(D94="","",IFERROR(INDEX(Setup!$C$8:$C$37,MATCH(D94,Setup!$B$8:$B$37,0)),"Check category"))</f>
        <v/>
      </c>
      <c r="G94" s="23" t="str">
        <f aca="false">IF(B94="","",MONTH(B94))</f>
        <v/>
      </c>
      <c r="H94" s="23" t="str">
        <f aca="false">IF(B94="","",YEAR(B94))</f>
        <v/>
      </c>
    </row>
    <row r="95" customFormat="false" ht="15" hidden="false" customHeight="false" outlineLevel="0" collapsed="false">
      <c r="B95" s="21"/>
      <c r="C95" s="16"/>
      <c r="D95" s="16"/>
      <c r="E95" s="17"/>
      <c r="F95" s="22" t="str">
        <f aca="false">IF(D95="","",IFERROR(INDEX(Setup!$C$8:$C$37,MATCH(D95,Setup!$B$8:$B$37,0)),"Check category"))</f>
        <v/>
      </c>
      <c r="G95" s="23" t="str">
        <f aca="false">IF(B95="","",MONTH(B95))</f>
        <v/>
      </c>
      <c r="H95" s="23" t="str">
        <f aca="false">IF(B95="","",YEAR(B95))</f>
        <v/>
      </c>
    </row>
    <row r="96" customFormat="false" ht="15" hidden="false" customHeight="false" outlineLevel="0" collapsed="false">
      <c r="B96" s="21"/>
      <c r="C96" s="16"/>
      <c r="D96" s="16"/>
      <c r="E96" s="17"/>
      <c r="F96" s="22" t="str">
        <f aca="false">IF(D96="","",IFERROR(INDEX(Setup!$C$8:$C$37,MATCH(D96,Setup!$B$8:$B$37,0)),"Check category"))</f>
        <v/>
      </c>
      <c r="G96" s="23" t="str">
        <f aca="false">IF(B96="","",MONTH(B96))</f>
        <v/>
      </c>
      <c r="H96" s="23" t="str">
        <f aca="false">IF(B96="","",YEAR(B96))</f>
        <v/>
      </c>
    </row>
    <row r="97" customFormat="false" ht="15" hidden="false" customHeight="false" outlineLevel="0" collapsed="false">
      <c r="B97" s="21"/>
      <c r="C97" s="16"/>
      <c r="D97" s="16"/>
      <c r="E97" s="17"/>
      <c r="F97" s="22" t="str">
        <f aca="false">IF(D97="","",IFERROR(INDEX(Setup!$C$8:$C$37,MATCH(D97,Setup!$B$8:$B$37,0)),"Check category"))</f>
        <v/>
      </c>
      <c r="G97" s="23" t="str">
        <f aca="false">IF(B97="","",MONTH(B97))</f>
        <v/>
      </c>
      <c r="H97" s="23" t="str">
        <f aca="false">IF(B97="","",YEAR(B97))</f>
        <v/>
      </c>
    </row>
    <row r="98" customFormat="false" ht="15" hidden="false" customHeight="false" outlineLevel="0" collapsed="false">
      <c r="B98" s="21"/>
      <c r="C98" s="16"/>
      <c r="D98" s="16"/>
      <c r="E98" s="17"/>
      <c r="F98" s="22" t="str">
        <f aca="false">IF(D98="","",IFERROR(INDEX(Setup!$C$8:$C$37,MATCH(D98,Setup!$B$8:$B$37,0)),"Check category"))</f>
        <v/>
      </c>
      <c r="G98" s="23" t="str">
        <f aca="false">IF(B98="","",MONTH(B98))</f>
        <v/>
      </c>
      <c r="H98" s="23" t="str">
        <f aca="false">IF(B98="","",YEAR(B98))</f>
        <v/>
      </c>
    </row>
    <row r="99" customFormat="false" ht="15" hidden="false" customHeight="false" outlineLevel="0" collapsed="false">
      <c r="B99" s="21"/>
      <c r="C99" s="16"/>
      <c r="D99" s="16"/>
      <c r="E99" s="17"/>
      <c r="F99" s="22" t="str">
        <f aca="false">IF(D99="","",IFERROR(INDEX(Setup!$C$8:$C$37,MATCH(D99,Setup!$B$8:$B$37,0)),"Check category"))</f>
        <v/>
      </c>
      <c r="G99" s="23" t="str">
        <f aca="false">IF(B99="","",MONTH(B99))</f>
        <v/>
      </c>
      <c r="H99" s="23" t="str">
        <f aca="false">IF(B99="","",YEAR(B99))</f>
        <v/>
      </c>
    </row>
    <row r="100" customFormat="false" ht="15" hidden="false" customHeight="false" outlineLevel="0" collapsed="false">
      <c r="B100" s="21"/>
      <c r="C100" s="16"/>
      <c r="D100" s="16"/>
      <c r="E100" s="17"/>
      <c r="F100" s="22" t="str">
        <f aca="false">IF(D100="","",IFERROR(INDEX(Setup!$C$8:$C$37,MATCH(D100,Setup!$B$8:$B$37,0)),"Check category"))</f>
        <v/>
      </c>
      <c r="G100" s="23" t="str">
        <f aca="false">IF(B100="","",MONTH(B100))</f>
        <v/>
      </c>
      <c r="H100" s="23" t="str">
        <f aca="false">IF(B100="","",YEAR(B100))</f>
        <v/>
      </c>
    </row>
    <row r="101" customFormat="false" ht="15" hidden="false" customHeight="false" outlineLevel="0" collapsed="false">
      <c r="B101" s="21"/>
      <c r="C101" s="16"/>
      <c r="D101" s="16"/>
      <c r="E101" s="17"/>
      <c r="F101" s="22" t="str">
        <f aca="false">IF(D101="","",IFERROR(INDEX(Setup!$C$8:$C$37,MATCH(D101,Setup!$B$8:$B$37,0)),"Check category"))</f>
        <v/>
      </c>
      <c r="G101" s="23" t="str">
        <f aca="false">IF(B101="","",MONTH(B101))</f>
        <v/>
      </c>
      <c r="H101" s="23" t="str">
        <f aca="false">IF(B101="","",YEAR(B101))</f>
        <v/>
      </c>
    </row>
    <row r="102" customFormat="false" ht="15" hidden="false" customHeight="false" outlineLevel="0" collapsed="false">
      <c r="B102" s="21"/>
      <c r="C102" s="16"/>
      <c r="D102" s="16"/>
      <c r="E102" s="17"/>
      <c r="F102" s="22" t="str">
        <f aca="false">IF(D102="","",IFERROR(INDEX(Setup!$C$8:$C$37,MATCH(D102,Setup!$B$8:$B$37,0)),"Check category"))</f>
        <v/>
      </c>
      <c r="G102" s="23" t="str">
        <f aca="false">IF(B102="","",MONTH(B102))</f>
        <v/>
      </c>
      <c r="H102" s="23" t="str">
        <f aca="false">IF(B102="","",YEAR(B102))</f>
        <v/>
      </c>
    </row>
    <row r="103" customFormat="false" ht="15" hidden="false" customHeight="false" outlineLevel="0" collapsed="false">
      <c r="B103" s="21"/>
      <c r="C103" s="16"/>
      <c r="D103" s="16"/>
      <c r="E103" s="17"/>
      <c r="F103" s="22" t="str">
        <f aca="false">IF(D103="","",IFERROR(INDEX(Setup!$C$8:$C$37,MATCH(D103,Setup!$B$8:$B$37,0)),"Check category"))</f>
        <v/>
      </c>
      <c r="G103" s="23" t="str">
        <f aca="false">IF(B103="","",MONTH(B103))</f>
        <v/>
      </c>
      <c r="H103" s="23" t="str">
        <f aca="false">IF(B103="","",YEAR(B103))</f>
        <v/>
      </c>
    </row>
    <row r="104" customFormat="false" ht="15" hidden="false" customHeight="false" outlineLevel="0" collapsed="false">
      <c r="B104" s="21"/>
      <c r="C104" s="16"/>
      <c r="D104" s="16"/>
      <c r="E104" s="17"/>
      <c r="F104" s="22" t="str">
        <f aca="false">IF(D104="","",IFERROR(INDEX(Setup!$C$8:$C$37,MATCH(D104,Setup!$B$8:$B$37,0)),"Check category"))</f>
        <v/>
      </c>
      <c r="G104" s="23" t="str">
        <f aca="false">IF(B104="","",MONTH(B104))</f>
        <v/>
      </c>
      <c r="H104" s="23" t="str">
        <f aca="false">IF(B104="","",YEAR(B104))</f>
        <v/>
      </c>
    </row>
    <row r="105" customFormat="false" ht="15" hidden="false" customHeight="false" outlineLevel="0" collapsed="false">
      <c r="B105" s="21"/>
      <c r="C105" s="16"/>
      <c r="D105" s="16"/>
      <c r="E105" s="17"/>
      <c r="F105" s="22" t="str">
        <f aca="false">IF(D105="","",IFERROR(INDEX(Setup!$C$8:$C$37,MATCH(D105,Setup!$B$8:$B$37,0)),"Check category"))</f>
        <v/>
      </c>
      <c r="G105" s="23" t="str">
        <f aca="false">IF(B105="","",MONTH(B105))</f>
        <v/>
      </c>
      <c r="H105" s="23" t="str">
        <f aca="false">IF(B105="","",YEAR(B105))</f>
        <v/>
      </c>
    </row>
    <row r="106" customFormat="false" ht="15" hidden="false" customHeight="false" outlineLevel="0" collapsed="false">
      <c r="B106" s="21"/>
      <c r="C106" s="16"/>
      <c r="D106" s="16"/>
      <c r="E106" s="17"/>
      <c r="F106" s="22" t="str">
        <f aca="false">IF(D106="","",IFERROR(INDEX(Setup!$C$8:$C$37,MATCH(D106,Setup!$B$8:$B$37,0)),"Check category"))</f>
        <v/>
      </c>
      <c r="G106" s="23" t="str">
        <f aca="false">IF(B106="","",MONTH(B106))</f>
        <v/>
      </c>
      <c r="H106" s="23" t="str">
        <f aca="false">IF(B106="","",YEAR(B106))</f>
        <v/>
      </c>
    </row>
    <row r="107" customFormat="false" ht="15" hidden="false" customHeight="false" outlineLevel="0" collapsed="false">
      <c r="B107" s="21"/>
      <c r="C107" s="16"/>
      <c r="D107" s="16"/>
      <c r="E107" s="17"/>
      <c r="F107" s="22" t="str">
        <f aca="false">IF(D107="","",IFERROR(INDEX(Setup!$C$8:$C$37,MATCH(D107,Setup!$B$8:$B$37,0)),"Check category"))</f>
        <v/>
      </c>
      <c r="G107" s="23" t="str">
        <f aca="false">IF(B107="","",MONTH(B107))</f>
        <v/>
      </c>
      <c r="H107" s="23" t="str">
        <f aca="false">IF(B107="","",YEAR(B107))</f>
        <v/>
      </c>
    </row>
    <row r="108" customFormat="false" ht="15" hidden="false" customHeight="false" outlineLevel="0" collapsed="false">
      <c r="B108" s="21"/>
      <c r="C108" s="16"/>
      <c r="D108" s="16"/>
      <c r="E108" s="17"/>
      <c r="F108" s="22" t="str">
        <f aca="false">IF(D108="","",IFERROR(INDEX(Setup!$C$8:$C$37,MATCH(D108,Setup!$B$8:$B$37,0)),"Check category"))</f>
        <v/>
      </c>
      <c r="G108" s="23" t="str">
        <f aca="false">IF(B108="","",MONTH(B108))</f>
        <v/>
      </c>
      <c r="H108" s="23" t="str">
        <f aca="false">IF(B108="","",YEAR(B108))</f>
        <v/>
      </c>
    </row>
    <row r="109" customFormat="false" ht="15" hidden="false" customHeight="false" outlineLevel="0" collapsed="false">
      <c r="B109" s="21"/>
      <c r="C109" s="16"/>
      <c r="D109" s="16"/>
      <c r="E109" s="17"/>
      <c r="F109" s="22" t="str">
        <f aca="false">IF(D109="","",IFERROR(INDEX(Setup!$C$8:$C$37,MATCH(D109,Setup!$B$8:$B$37,0)),"Check category"))</f>
        <v/>
      </c>
      <c r="G109" s="23" t="str">
        <f aca="false">IF(B109="","",MONTH(B109))</f>
        <v/>
      </c>
      <c r="H109" s="23" t="str">
        <f aca="false">IF(B109="","",YEAR(B109))</f>
        <v/>
      </c>
    </row>
    <row r="110" customFormat="false" ht="15" hidden="false" customHeight="false" outlineLevel="0" collapsed="false">
      <c r="B110" s="21"/>
      <c r="C110" s="16"/>
      <c r="D110" s="16"/>
      <c r="E110" s="17"/>
      <c r="F110" s="22" t="str">
        <f aca="false">IF(D110="","",IFERROR(INDEX(Setup!$C$8:$C$37,MATCH(D110,Setup!$B$8:$B$37,0)),"Check category"))</f>
        <v/>
      </c>
      <c r="G110" s="23" t="str">
        <f aca="false">IF(B110="","",MONTH(B110))</f>
        <v/>
      </c>
      <c r="H110" s="23" t="str">
        <f aca="false">IF(B110="","",YEAR(B110))</f>
        <v/>
      </c>
    </row>
    <row r="111" customFormat="false" ht="15" hidden="false" customHeight="false" outlineLevel="0" collapsed="false">
      <c r="B111" s="21"/>
      <c r="C111" s="16"/>
      <c r="D111" s="16"/>
      <c r="E111" s="17"/>
      <c r="F111" s="22" t="str">
        <f aca="false">IF(D111="","",IFERROR(INDEX(Setup!$C$8:$C$37,MATCH(D111,Setup!$B$8:$B$37,0)),"Check category"))</f>
        <v/>
      </c>
      <c r="G111" s="23" t="str">
        <f aca="false">IF(B111="","",MONTH(B111))</f>
        <v/>
      </c>
      <c r="H111" s="23" t="str">
        <f aca="false">IF(B111="","",YEAR(B111))</f>
        <v/>
      </c>
    </row>
    <row r="112" customFormat="false" ht="15" hidden="false" customHeight="false" outlineLevel="0" collapsed="false">
      <c r="B112" s="21"/>
      <c r="C112" s="16"/>
      <c r="D112" s="16"/>
      <c r="E112" s="17"/>
      <c r="F112" s="22" t="str">
        <f aca="false">IF(D112="","",IFERROR(INDEX(Setup!$C$8:$C$37,MATCH(D112,Setup!$B$8:$B$37,0)),"Check category"))</f>
        <v/>
      </c>
      <c r="G112" s="23" t="str">
        <f aca="false">IF(B112="","",MONTH(B112))</f>
        <v/>
      </c>
      <c r="H112" s="23" t="str">
        <f aca="false">IF(B112="","",YEAR(B112))</f>
        <v/>
      </c>
    </row>
    <row r="113" customFormat="false" ht="15" hidden="false" customHeight="false" outlineLevel="0" collapsed="false">
      <c r="B113" s="21"/>
      <c r="C113" s="16"/>
      <c r="D113" s="16"/>
      <c r="E113" s="17"/>
      <c r="F113" s="22" t="str">
        <f aca="false">IF(D113="","",IFERROR(INDEX(Setup!$C$8:$C$37,MATCH(D113,Setup!$B$8:$B$37,0)),"Check category"))</f>
        <v/>
      </c>
      <c r="G113" s="23" t="str">
        <f aca="false">IF(B113="","",MONTH(B113))</f>
        <v/>
      </c>
      <c r="H113" s="23" t="str">
        <f aca="false">IF(B113="","",YEAR(B113))</f>
        <v/>
      </c>
    </row>
    <row r="114" customFormat="false" ht="15" hidden="false" customHeight="false" outlineLevel="0" collapsed="false">
      <c r="B114" s="21"/>
      <c r="C114" s="16"/>
      <c r="D114" s="16"/>
      <c r="E114" s="17"/>
      <c r="F114" s="22" t="str">
        <f aca="false">IF(D114="","",IFERROR(INDEX(Setup!$C$8:$C$37,MATCH(D114,Setup!$B$8:$B$37,0)),"Check category"))</f>
        <v/>
      </c>
      <c r="G114" s="23" t="str">
        <f aca="false">IF(B114="","",MONTH(B114))</f>
        <v/>
      </c>
      <c r="H114" s="23" t="str">
        <f aca="false">IF(B114="","",YEAR(B114))</f>
        <v/>
      </c>
    </row>
    <row r="115" customFormat="false" ht="15" hidden="false" customHeight="false" outlineLevel="0" collapsed="false">
      <c r="B115" s="21"/>
      <c r="C115" s="16"/>
      <c r="D115" s="16"/>
      <c r="E115" s="17"/>
      <c r="F115" s="22" t="str">
        <f aca="false">IF(D115="","",IFERROR(INDEX(Setup!$C$8:$C$37,MATCH(D115,Setup!$B$8:$B$37,0)),"Check category"))</f>
        <v/>
      </c>
      <c r="G115" s="23" t="str">
        <f aca="false">IF(B115="","",MONTH(B115))</f>
        <v/>
      </c>
      <c r="H115" s="23" t="str">
        <f aca="false">IF(B115="","",YEAR(B115))</f>
        <v/>
      </c>
    </row>
    <row r="116" customFormat="false" ht="15" hidden="false" customHeight="false" outlineLevel="0" collapsed="false">
      <c r="B116" s="21"/>
      <c r="C116" s="16"/>
      <c r="D116" s="16"/>
      <c r="E116" s="17"/>
      <c r="F116" s="22" t="str">
        <f aca="false">IF(D116="","",IFERROR(INDEX(Setup!$C$8:$C$37,MATCH(D116,Setup!$B$8:$B$37,0)),"Check category"))</f>
        <v/>
      </c>
      <c r="G116" s="23" t="str">
        <f aca="false">IF(B116="","",MONTH(B116))</f>
        <v/>
      </c>
      <c r="H116" s="23" t="str">
        <f aca="false">IF(B116="","",YEAR(B116))</f>
        <v/>
      </c>
    </row>
    <row r="117" customFormat="false" ht="15" hidden="false" customHeight="false" outlineLevel="0" collapsed="false">
      <c r="B117" s="21"/>
      <c r="C117" s="16"/>
      <c r="D117" s="16"/>
      <c r="E117" s="17"/>
      <c r="F117" s="22" t="str">
        <f aca="false">IF(D117="","",IFERROR(INDEX(Setup!$C$8:$C$37,MATCH(D117,Setup!$B$8:$B$37,0)),"Check category"))</f>
        <v/>
      </c>
      <c r="G117" s="23" t="str">
        <f aca="false">IF(B117="","",MONTH(B117))</f>
        <v/>
      </c>
      <c r="H117" s="23" t="str">
        <f aca="false">IF(B117="","",YEAR(B117))</f>
        <v/>
      </c>
    </row>
    <row r="118" customFormat="false" ht="15" hidden="false" customHeight="false" outlineLevel="0" collapsed="false">
      <c r="B118" s="21"/>
      <c r="C118" s="16"/>
      <c r="D118" s="16"/>
      <c r="E118" s="17"/>
      <c r="F118" s="22" t="str">
        <f aca="false">IF(D118="","",IFERROR(INDEX(Setup!$C$8:$C$37,MATCH(D118,Setup!$B$8:$B$37,0)),"Check category"))</f>
        <v/>
      </c>
      <c r="G118" s="23" t="str">
        <f aca="false">IF(B118="","",MONTH(B118))</f>
        <v/>
      </c>
      <c r="H118" s="23" t="str">
        <f aca="false">IF(B118="","",YEAR(B118))</f>
        <v/>
      </c>
    </row>
    <row r="119" customFormat="false" ht="15" hidden="false" customHeight="false" outlineLevel="0" collapsed="false">
      <c r="B119" s="21"/>
      <c r="C119" s="16"/>
      <c r="D119" s="16"/>
      <c r="E119" s="17"/>
      <c r="F119" s="22" t="str">
        <f aca="false">IF(D119="","",IFERROR(INDEX(Setup!$C$8:$C$37,MATCH(D119,Setup!$B$8:$B$37,0)),"Check category"))</f>
        <v/>
      </c>
      <c r="G119" s="23" t="str">
        <f aca="false">IF(B119="","",MONTH(B119))</f>
        <v/>
      </c>
      <c r="H119" s="23" t="str">
        <f aca="false">IF(B119="","",YEAR(B119))</f>
        <v/>
      </c>
    </row>
    <row r="120" customFormat="false" ht="15" hidden="false" customHeight="false" outlineLevel="0" collapsed="false">
      <c r="B120" s="21"/>
      <c r="C120" s="16"/>
      <c r="D120" s="16"/>
      <c r="E120" s="17"/>
      <c r="F120" s="22" t="str">
        <f aca="false">IF(D120="","",IFERROR(INDEX(Setup!$C$8:$C$37,MATCH(D120,Setup!$B$8:$B$37,0)),"Check category"))</f>
        <v/>
      </c>
      <c r="G120" s="23" t="str">
        <f aca="false">IF(B120="","",MONTH(B120))</f>
        <v/>
      </c>
      <c r="H120" s="23" t="str">
        <f aca="false">IF(B120="","",YEAR(B120))</f>
        <v/>
      </c>
    </row>
    <row r="121" customFormat="false" ht="15" hidden="false" customHeight="false" outlineLevel="0" collapsed="false">
      <c r="B121" s="21"/>
      <c r="C121" s="16"/>
      <c r="D121" s="16"/>
      <c r="E121" s="17"/>
      <c r="F121" s="22" t="str">
        <f aca="false">IF(D121="","",IFERROR(INDEX(Setup!$C$8:$C$37,MATCH(D121,Setup!$B$8:$B$37,0)),"Check category"))</f>
        <v/>
      </c>
      <c r="G121" s="23" t="str">
        <f aca="false">IF(B121="","",MONTH(B121))</f>
        <v/>
      </c>
      <c r="H121" s="23" t="str">
        <f aca="false">IF(B121="","",YEAR(B121))</f>
        <v/>
      </c>
    </row>
    <row r="122" customFormat="false" ht="15" hidden="false" customHeight="false" outlineLevel="0" collapsed="false">
      <c r="B122" s="21"/>
      <c r="C122" s="16"/>
      <c r="D122" s="16"/>
      <c r="E122" s="17"/>
      <c r="F122" s="22" t="str">
        <f aca="false">IF(D122="","",IFERROR(INDEX(Setup!$C$8:$C$37,MATCH(D122,Setup!$B$8:$B$37,0)),"Check category"))</f>
        <v/>
      </c>
      <c r="G122" s="23" t="str">
        <f aca="false">IF(B122="","",MONTH(B122))</f>
        <v/>
      </c>
      <c r="H122" s="23" t="str">
        <f aca="false">IF(B122="","",YEAR(B122))</f>
        <v/>
      </c>
    </row>
    <row r="123" customFormat="false" ht="15" hidden="false" customHeight="false" outlineLevel="0" collapsed="false">
      <c r="B123" s="21"/>
      <c r="C123" s="16"/>
      <c r="D123" s="16"/>
      <c r="E123" s="17"/>
      <c r="F123" s="22" t="str">
        <f aca="false">IF(D123="","",IFERROR(INDEX(Setup!$C$8:$C$37,MATCH(D123,Setup!$B$8:$B$37,0)),"Check category"))</f>
        <v/>
      </c>
      <c r="G123" s="23" t="str">
        <f aca="false">IF(B123="","",MONTH(B123))</f>
        <v/>
      </c>
      <c r="H123" s="23" t="str">
        <f aca="false">IF(B123="","",YEAR(B123))</f>
        <v/>
      </c>
    </row>
    <row r="124" customFormat="false" ht="15" hidden="false" customHeight="false" outlineLevel="0" collapsed="false">
      <c r="B124" s="21"/>
      <c r="C124" s="16"/>
      <c r="D124" s="16"/>
      <c r="E124" s="17"/>
      <c r="F124" s="22" t="str">
        <f aca="false">IF(D124="","",IFERROR(INDEX(Setup!$C$8:$C$37,MATCH(D124,Setup!$B$8:$B$37,0)),"Check category"))</f>
        <v/>
      </c>
      <c r="G124" s="23" t="str">
        <f aca="false">IF(B124="","",MONTH(B124))</f>
        <v/>
      </c>
      <c r="H124" s="23" t="str">
        <f aca="false">IF(B124="","",YEAR(B124))</f>
        <v/>
      </c>
    </row>
    <row r="125" customFormat="false" ht="15" hidden="false" customHeight="false" outlineLevel="0" collapsed="false">
      <c r="B125" s="21"/>
      <c r="C125" s="16"/>
      <c r="D125" s="16"/>
      <c r="E125" s="17"/>
      <c r="F125" s="22" t="str">
        <f aca="false">IF(D125="","",IFERROR(INDEX(Setup!$C$8:$C$37,MATCH(D125,Setup!$B$8:$B$37,0)),"Check category"))</f>
        <v/>
      </c>
      <c r="G125" s="23" t="str">
        <f aca="false">IF(B125="","",MONTH(B125))</f>
        <v/>
      </c>
      <c r="H125" s="23" t="str">
        <f aca="false">IF(B125="","",YEAR(B125))</f>
        <v/>
      </c>
    </row>
    <row r="126" customFormat="false" ht="15" hidden="false" customHeight="false" outlineLevel="0" collapsed="false">
      <c r="B126" s="21"/>
      <c r="C126" s="16"/>
      <c r="D126" s="16"/>
      <c r="E126" s="17"/>
      <c r="F126" s="22" t="str">
        <f aca="false">IF(D126="","",IFERROR(INDEX(Setup!$C$8:$C$37,MATCH(D126,Setup!$B$8:$B$37,0)),"Check category"))</f>
        <v/>
      </c>
      <c r="G126" s="23" t="str">
        <f aca="false">IF(B126="","",MONTH(B126))</f>
        <v/>
      </c>
      <c r="H126" s="23" t="str">
        <f aca="false">IF(B126="","",YEAR(B126))</f>
        <v/>
      </c>
    </row>
    <row r="127" customFormat="false" ht="15" hidden="false" customHeight="false" outlineLevel="0" collapsed="false">
      <c r="B127" s="21"/>
      <c r="C127" s="16"/>
      <c r="D127" s="16"/>
      <c r="E127" s="17"/>
      <c r="F127" s="22" t="str">
        <f aca="false">IF(D127="","",IFERROR(INDEX(Setup!$C$8:$C$37,MATCH(D127,Setup!$B$8:$B$37,0)),"Check category"))</f>
        <v/>
      </c>
      <c r="G127" s="23" t="str">
        <f aca="false">IF(B127="","",MONTH(B127))</f>
        <v/>
      </c>
      <c r="H127" s="23" t="str">
        <f aca="false">IF(B127="","",YEAR(B127))</f>
        <v/>
      </c>
    </row>
    <row r="128" customFormat="false" ht="15" hidden="false" customHeight="false" outlineLevel="0" collapsed="false">
      <c r="B128" s="21"/>
      <c r="C128" s="16"/>
      <c r="D128" s="16"/>
      <c r="E128" s="17"/>
      <c r="F128" s="22" t="str">
        <f aca="false">IF(D128="","",IFERROR(INDEX(Setup!$C$8:$C$37,MATCH(D128,Setup!$B$8:$B$37,0)),"Check category"))</f>
        <v/>
      </c>
      <c r="G128" s="23" t="str">
        <f aca="false">IF(B128="","",MONTH(B128))</f>
        <v/>
      </c>
      <c r="H128" s="23" t="str">
        <f aca="false">IF(B128="","",YEAR(B128))</f>
        <v/>
      </c>
    </row>
    <row r="129" customFormat="false" ht="15" hidden="false" customHeight="false" outlineLevel="0" collapsed="false">
      <c r="B129" s="21"/>
      <c r="C129" s="16"/>
      <c r="D129" s="16"/>
      <c r="E129" s="17"/>
      <c r="F129" s="22" t="str">
        <f aca="false">IF(D129="","",IFERROR(INDEX(Setup!$C$8:$C$37,MATCH(D129,Setup!$B$8:$B$37,0)),"Check category"))</f>
        <v/>
      </c>
      <c r="G129" s="23" t="str">
        <f aca="false">IF(B129="","",MONTH(B129))</f>
        <v/>
      </c>
      <c r="H129" s="23" t="str">
        <f aca="false">IF(B129="","",YEAR(B129))</f>
        <v/>
      </c>
    </row>
    <row r="130" customFormat="false" ht="15" hidden="false" customHeight="false" outlineLevel="0" collapsed="false">
      <c r="B130" s="21"/>
      <c r="C130" s="16"/>
      <c r="D130" s="16"/>
      <c r="E130" s="17"/>
      <c r="F130" s="22" t="str">
        <f aca="false">IF(D130="","",IFERROR(INDEX(Setup!$C$8:$C$37,MATCH(D130,Setup!$B$8:$B$37,0)),"Check category"))</f>
        <v/>
      </c>
      <c r="G130" s="23" t="str">
        <f aca="false">IF(B130="","",MONTH(B130))</f>
        <v/>
      </c>
      <c r="H130" s="23" t="str">
        <f aca="false">IF(B130="","",YEAR(B130))</f>
        <v/>
      </c>
    </row>
    <row r="131" customFormat="false" ht="15" hidden="false" customHeight="false" outlineLevel="0" collapsed="false">
      <c r="B131" s="21"/>
      <c r="C131" s="16"/>
      <c r="D131" s="16"/>
      <c r="E131" s="17"/>
      <c r="F131" s="22" t="str">
        <f aca="false">IF(D131="","",IFERROR(INDEX(Setup!$C$8:$C$37,MATCH(D131,Setup!$B$8:$B$37,0)),"Check category"))</f>
        <v/>
      </c>
      <c r="G131" s="23" t="str">
        <f aca="false">IF(B131="","",MONTH(B131))</f>
        <v/>
      </c>
      <c r="H131" s="23" t="str">
        <f aca="false">IF(B131="","",YEAR(B131))</f>
        <v/>
      </c>
    </row>
    <row r="132" customFormat="false" ht="15" hidden="false" customHeight="false" outlineLevel="0" collapsed="false">
      <c r="B132" s="21"/>
      <c r="C132" s="16"/>
      <c r="D132" s="16"/>
      <c r="E132" s="17"/>
      <c r="F132" s="22" t="str">
        <f aca="false">IF(D132="","",IFERROR(INDEX(Setup!$C$8:$C$37,MATCH(D132,Setup!$B$8:$B$37,0)),"Check category"))</f>
        <v/>
      </c>
      <c r="G132" s="23" t="str">
        <f aca="false">IF(B132="","",MONTH(B132))</f>
        <v/>
      </c>
      <c r="H132" s="23" t="str">
        <f aca="false">IF(B132="","",YEAR(B132))</f>
        <v/>
      </c>
    </row>
    <row r="133" customFormat="false" ht="15" hidden="false" customHeight="false" outlineLevel="0" collapsed="false">
      <c r="B133" s="21"/>
      <c r="C133" s="16"/>
      <c r="D133" s="16"/>
      <c r="E133" s="17"/>
      <c r="F133" s="22" t="str">
        <f aca="false">IF(D133="","",IFERROR(INDEX(Setup!$C$8:$C$37,MATCH(D133,Setup!$B$8:$B$37,0)),"Check category"))</f>
        <v/>
      </c>
      <c r="G133" s="23" t="str">
        <f aca="false">IF(B133="","",MONTH(B133))</f>
        <v/>
      </c>
      <c r="H133" s="23" t="str">
        <f aca="false">IF(B133="","",YEAR(B133))</f>
        <v/>
      </c>
    </row>
    <row r="134" customFormat="false" ht="15" hidden="false" customHeight="false" outlineLevel="0" collapsed="false">
      <c r="B134" s="21"/>
      <c r="C134" s="16"/>
      <c r="D134" s="16"/>
      <c r="E134" s="17"/>
      <c r="F134" s="22" t="str">
        <f aca="false">IF(D134="","",IFERROR(INDEX(Setup!$C$8:$C$37,MATCH(D134,Setup!$B$8:$B$37,0)),"Check category"))</f>
        <v/>
      </c>
      <c r="G134" s="23" t="str">
        <f aca="false">IF(B134="","",MONTH(B134))</f>
        <v/>
      </c>
      <c r="H134" s="23" t="str">
        <f aca="false">IF(B134="","",YEAR(B134))</f>
        <v/>
      </c>
    </row>
    <row r="135" customFormat="false" ht="15" hidden="false" customHeight="false" outlineLevel="0" collapsed="false">
      <c r="B135" s="21"/>
      <c r="C135" s="16"/>
      <c r="D135" s="16"/>
      <c r="E135" s="17"/>
      <c r="F135" s="22" t="str">
        <f aca="false">IF(D135="","",IFERROR(INDEX(Setup!$C$8:$C$37,MATCH(D135,Setup!$B$8:$B$37,0)),"Check category"))</f>
        <v/>
      </c>
      <c r="G135" s="23" t="str">
        <f aca="false">IF(B135="","",MONTH(B135))</f>
        <v/>
      </c>
      <c r="H135" s="23" t="str">
        <f aca="false">IF(B135="","",YEAR(B135))</f>
        <v/>
      </c>
    </row>
    <row r="136" customFormat="false" ht="15" hidden="false" customHeight="false" outlineLevel="0" collapsed="false">
      <c r="B136" s="21"/>
      <c r="C136" s="16"/>
      <c r="D136" s="16"/>
      <c r="E136" s="17"/>
      <c r="F136" s="22" t="str">
        <f aca="false">IF(D136="","",IFERROR(INDEX(Setup!$C$8:$C$37,MATCH(D136,Setup!$B$8:$B$37,0)),"Check category"))</f>
        <v/>
      </c>
      <c r="G136" s="23" t="str">
        <f aca="false">IF(B136="","",MONTH(B136))</f>
        <v/>
      </c>
      <c r="H136" s="23" t="str">
        <f aca="false">IF(B136="","",YEAR(B136))</f>
        <v/>
      </c>
    </row>
    <row r="137" customFormat="false" ht="15" hidden="false" customHeight="false" outlineLevel="0" collapsed="false">
      <c r="B137" s="21"/>
      <c r="C137" s="16"/>
      <c r="D137" s="16"/>
      <c r="E137" s="17"/>
      <c r="F137" s="22" t="str">
        <f aca="false">IF(D137="","",IFERROR(INDEX(Setup!$C$8:$C$37,MATCH(D137,Setup!$B$8:$B$37,0)),"Check category"))</f>
        <v/>
      </c>
      <c r="G137" s="23" t="str">
        <f aca="false">IF(B137="","",MONTH(B137))</f>
        <v/>
      </c>
      <c r="H137" s="23" t="str">
        <f aca="false">IF(B137="","",YEAR(B137))</f>
        <v/>
      </c>
    </row>
    <row r="138" customFormat="false" ht="15" hidden="false" customHeight="false" outlineLevel="0" collapsed="false">
      <c r="B138" s="21"/>
      <c r="C138" s="16"/>
      <c r="D138" s="16"/>
      <c r="E138" s="17"/>
      <c r="F138" s="22" t="str">
        <f aca="false">IF(D138="","",IFERROR(INDEX(Setup!$C$8:$C$37,MATCH(D138,Setup!$B$8:$B$37,0)),"Check category"))</f>
        <v/>
      </c>
      <c r="G138" s="23" t="str">
        <f aca="false">IF(B138="","",MONTH(B138))</f>
        <v/>
      </c>
      <c r="H138" s="23" t="str">
        <f aca="false">IF(B138="","",YEAR(B138))</f>
        <v/>
      </c>
    </row>
    <row r="139" customFormat="false" ht="15" hidden="false" customHeight="false" outlineLevel="0" collapsed="false">
      <c r="B139" s="21"/>
      <c r="C139" s="16"/>
      <c r="D139" s="16"/>
      <c r="E139" s="17"/>
      <c r="F139" s="22" t="str">
        <f aca="false">IF(D139="","",IFERROR(INDEX(Setup!$C$8:$C$37,MATCH(D139,Setup!$B$8:$B$37,0)),"Check category"))</f>
        <v/>
      </c>
      <c r="G139" s="23" t="str">
        <f aca="false">IF(B139="","",MONTH(B139))</f>
        <v/>
      </c>
      <c r="H139" s="23" t="str">
        <f aca="false">IF(B139="","",YEAR(B139))</f>
        <v/>
      </c>
    </row>
    <row r="140" customFormat="false" ht="15" hidden="false" customHeight="false" outlineLevel="0" collapsed="false">
      <c r="B140" s="21"/>
      <c r="C140" s="16"/>
      <c r="D140" s="16"/>
      <c r="E140" s="17"/>
      <c r="F140" s="22" t="str">
        <f aca="false">IF(D140="","",IFERROR(INDEX(Setup!$C$8:$C$37,MATCH(D140,Setup!$B$8:$B$37,0)),"Check category"))</f>
        <v/>
      </c>
      <c r="G140" s="23" t="str">
        <f aca="false">IF(B140="","",MONTH(B140))</f>
        <v/>
      </c>
      <c r="H140" s="23" t="str">
        <f aca="false">IF(B140="","",YEAR(B140))</f>
        <v/>
      </c>
    </row>
    <row r="141" customFormat="false" ht="15" hidden="false" customHeight="false" outlineLevel="0" collapsed="false">
      <c r="B141" s="21"/>
      <c r="C141" s="16"/>
      <c r="D141" s="16"/>
      <c r="E141" s="17"/>
      <c r="F141" s="22" t="str">
        <f aca="false">IF(D141="","",IFERROR(INDEX(Setup!$C$8:$C$37,MATCH(D141,Setup!$B$8:$B$37,0)),"Check category"))</f>
        <v/>
      </c>
      <c r="G141" s="23" t="str">
        <f aca="false">IF(B141="","",MONTH(B141))</f>
        <v/>
      </c>
      <c r="H141" s="23" t="str">
        <f aca="false">IF(B141="","",YEAR(B141))</f>
        <v/>
      </c>
    </row>
    <row r="142" customFormat="false" ht="15" hidden="false" customHeight="false" outlineLevel="0" collapsed="false">
      <c r="B142" s="21"/>
      <c r="C142" s="16"/>
      <c r="D142" s="16"/>
      <c r="E142" s="17"/>
      <c r="F142" s="22" t="str">
        <f aca="false">IF(D142="","",IFERROR(INDEX(Setup!$C$8:$C$37,MATCH(D142,Setup!$B$8:$B$37,0)),"Check category"))</f>
        <v/>
      </c>
      <c r="G142" s="23" t="str">
        <f aca="false">IF(B142="","",MONTH(B142))</f>
        <v/>
      </c>
      <c r="H142" s="23" t="str">
        <f aca="false">IF(B142="","",YEAR(B142))</f>
        <v/>
      </c>
    </row>
    <row r="143" customFormat="false" ht="15" hidden="false" customHeight="false" outlineLevel="0" collapsed="false">
      <c r="B143" s="21"/>
      <c r="C143" s="16"/>
      <c r="D143" s="16"/>
      <c r="E143" s="17"/>
      <c r="F143" s="22" t="str">
        <f aca="false">IF(D143="","",IFERROR(INDEX(Setup!$C$8:$C$37,MATCH(D143,Setup!$B$8:$B$37,0)),"Check category"))</f>
        <v/>
      </c>
      <c r="G143" s="23" t="str">
        <f aca="false">IF(B143="","",MONTH(B143))</f>
        <v/>
      </c>
      <c r="H143" s="23" t="str">
        <f aca="false">IF(B143="","",YEAR(B143))</f>
        <v/>
      </c>
    </row>
    <row r="144" customFormat="false" ht="15" hidden="false" customHeight="false" outlineLevel="0" collapsed="false">
      <c r="B144" s="21"/>
      <c r="C144" s="16"/>
      <c r="D144" s="16"/>
      <c r="E144" s="17"/>
      <c r="F144" s="22" t="str">
        <f aca="false">IF(D144="","",IFERROR(INDEX(Setup!$C$8:$C$37,MATCH(D144,Setup!$B$8:$B$37,0)),"Check category"))</f>
        <v/>
      </c>
      <c r="G144" s="23" t="str">
        <f aca="false">IF(B144="","",MONTH(B144))</f>
        <v/>
      </c>
      <c r="H144" s="23" t="str">
        <f aca="false">IF(B144="","",YEAR(B144))</f>
        <v/>
      </c>
    </row>
    <row r="145" customFormat="false" ht="15" hidden="false" customHeight="false" outlineLevel="0" collapsed="false">
      <c r="B145" s="21"/>
      <c r="C145" s="16"/>
      <c r="D145" s="16"/>
      <c r="E145" s="17"/>
      <c r="F145" s="22" t="str">
        <f aca="false">IF(D145="","",IFERROR(INDEX(Setup!$C$8:$C$37,MATCH(D145,Setup!$B$8:$B$37,0)),"Check category"))</f>
        <v/>
      </c>
      <c r="G145" s="23" t="str">
        <f aca="false">IF(B145="","",MONTH(B145))</f>
        <v/>
      </c>
      <c r="H145" s="23" t="str">
        <f aca="false">IF(B145="","",YEAR(B145))</f>
        <v/>
      </c>
    </row>
    <row r="146" customFormat="false" ht="15" hidden="false" customHeight="false" outlineLevel="0" collapsed="false">
      <c r="B146" s="21"/>
      <c r="C146" s="16"/>
      <c r="D146" s="16"/>
      <c r="E146" s="17"/>
      <c r="F146" s="22" t="str">
        <f aca="false">IF(D146="","",IFERROR(INDEX(Setup!$C$8:$C$37,MATCH(D146,Setup!$B$8:$B$37,0)),"Check category"))</f>
        <v/>
      </c>
      <c r="G146" s="23" t="str">
        <f aca="false">IF(B146="","",MONTH(B146))</f>
        <v/>
      </c>
      <c r="H146" s="23" t="str">
        <f aca="false">IF(B146="","",YEAR(B146))</f>
        <v/>
      </c>
    </row>
    <row r="147" customFormat="false" ht="15" hidden="false" customHeight="false" outlineLevel="0" collapsed="false">
      <c r="B147" s="21"/>
      <c r="C147" s="16"/>
      <c r="D147" s="16"/>
      <c r="E147" s="17"/>
      <c r="F147" s="22" t="str">
        <f aca="false">IF(D147="","",IFERROR(INDEX(Setup!$C$8:$C$37,MATCH(D147,Setup!$B$8:$B$37,0)),"Check category"))</f>
        <v/>
      </c>
      <c r="G147" s="23" t="str">
        <f aca="false">IF(B147="","",MONTH(B147))</f>
        <v/>
      </c>
      <c r="H147" s="23" t="str">
        <f aca="false">IF(B147="","",YEAR(B147))</f>
        <v/>
      </c>
    </row>
    <row r="148" customFormat="false" ht="15" hidden="false" customHeight="false" outlineLevel="0" collapsed="false">
      <c r="B148" s="21"/>
      <c r="C148" s="16"/>
      <c r="D148" s="16"/>
      <c r="E148" s="17"/>
      <c r="F148" s="22" t="str">
        <f aca="false">IF(D148="","",IFERROR(INDEX(Setup!$C$8:$C$37,MATCH(D148,Setup!$B$8:$B$37,0)),"Check category"))</f>
        <v/>
      </c>
      <c r="G148" s="23" t="str">
        <f aca="false">IF(B148="","",MONTH(B148))</f>
        <v/>
      </c>
      <c r="H148" s="23" t="str">
        <f aca="false">IF(B148="","",YEAR(B148))</f>
        <v/>
      </c>
    </row>
    <row r="149" customFormat="false" ht="15" hidden="false" customHeight="false" outlineLevel="0" collapsed="false">
      <c r="B149" s="21"/>
      <c r="C149" s="16"/>
      <c r="D149" s="16"/>
      <c r="E149" s="17"/>
      <c r="F149" s="22" t="str">
        <f aca="false">IF(D149="","",IFERROR(INDEX(Setup!$C$8:$C$37,MATCH(D149,Setup!$B$8:$B$37,0)),"Check category"))</f>
        <v/>
      </c>
      <c r="G149" s="23" t="str">
        <f aca="false">IF(B149="","",MONTH(B149))</f>
        <v/>
      </c>
      <c r="H149" s="23" t="str">
        <f aca="false">IF(B149="","",YEAR(B149))</f>
        <v/>
      </c>
    </row>
    <row r="150" customFormat="false" ht="15" hidden="false" customHeight="false" outlineLevel="0" collapsed="false">
      <c r="B150" s="21"/>
      <c r="C150" s="16"/>
      <c r="D150" s="16"/>
      <c r="E150" s="17"/>
      <c r="F150" s="22" t="str">
        <f aca="false">IF(D150="","",IFERROR(INDEX(Setup!$C$8:$C$37,MATCH(D150,Setup!$B$8:$B$37,0)),"Check category"))</f>
        <v/>
      </c>
      <c r="G150" s="23" t="str">
        <f aca="false">IF(B150="","",MONTH(B150))</f>
        <v/>
      </c>
      <c r="H150" s="23" t="str">
        <f aca="false">IF(B150="","",YEAR(B150))</f>
        <v/>
      </c>
    </row>
    <row r="151" customFormat="false" ht="15" hidden="false" customHeight="false" outlineLevel="0" collapsed="false">
      <c r="B151" s="21"/>
      <c r="C151" s="16"/>
      <c r="D151" s="16"/>
      <c r="E151" s="17"/>
      <c r="F151" s="22" t="str">
        <f aca="false">IF(D151="","",IFERROR(INDEX(Setup!$C$8:$C$37,MATCH(D151,Setup!$B$8:$B$37,0)),"Check category"))</f>
        <v/>
      </c>
      <c r="G151" s="23" t="str">
        <f aca="false">IF(B151="","",MONTH(B151))</f>
        <v/>
      </c>
      <c r="H151" s="23" t="str">
        <f aca="false">IF(B151="","",YEAR(B151))</f>
        <v/>
      </c>
    </row>
    <row r="152" customFormat="false" ht="15" hidden="false" customHeight="false" outlineLevel="0" collapsed="false">
      <c r="B152" s="21"/>
      <c r="C152" s="16"/>
      <c r="D152" s="16"/>
      <c r="E152" s="17"/>
      <c r="F152" s="22" t="str">
        <f aca="false">IF(D152="","",IFERROR(INDEX(Setup!$C$8:$C$37,MATCH(D152,Setup!$B$8:$B$37,0)),"Check category"))</f>
        <v/>
      </c>
      <c r="G152" s="23" t="str">
        <f aca="false">IF(B152="","",MONTH(B152))</f>
        <v/>
      </c>
      <c r="H152" s="23" t="str">
        <f aca="false">IF(B152="","",YEAR(B152))</f>
        <v/>
      </c>
    </row>
    <row r="153" customFormat="false" ht="15" hidden="false" customHeight="false" outlineLevel="0" collapsed="false">
      <c r="B153" s="21"/>
      <c r="C153" s="16"/>
      <c r="D153" s="16"/>
      <c r="E153" s="17"/>
      <c r="F153" s="22" t="str">
        <f aca="false">IF(D153="","",IFERROR(INDEX(Setup!$C$8:$C$37,MATCH(D153,Setup!$B$8:$B$37,0)),"Check category"))</f>
        <v/>
      </c>
      <c r="G153" s="23" t="str">
        <f aca="false">IF(B153="","",MONTH(B153))</f>
        <v/>
      </c>
      <c r="H153" s="23" t="str">
        <f aca="false">IF(B153="","",YEAR(B153))</f>
        <v/>
      </c>
    </row>
    <row r="154" customFormat="false" ht="15" hidden="false" customHeight="false" outlineLevel="0" collapsed="false">
      <c r="B154" s="21"/>
      <c r="C154" s="16"/>
      <c r="D154" s="16"/>
      <c r="E154" s="17"/>
      <c r="F154" s="22" t="str">
        <f aca="false">IF(D154="","",IFERROR(INDEX(Setup!$C$8:$C$37,MATCH(D154,Setup!$B$8:$B$37,0)),"Check category"))</f>
        <v/>
      </c>
      <c r="G154" s="23" t="str">
        <f aca="false">IF(B154="","",MONTH(B154))</f>
        <v/>
      </c>
      <c r="H154" s="23" t="str">
        <f aca="false">IF(B154="","",YEAR(B154))</f>
        <v/>
      </c>
    </row>
    <row r="155" customFormat="false" ht="15" hidden="false" customHeight="false" outlineLevel="0" collapsed="false">
      <c r="B155" s="21"/>
      <c r="C155" s="16"/>
      <c r="D155" s="16"/>
      <c r="E155" s="17"/>
      <c r="F155" s="22" t="str">
        <f aca="false">IF(D155="","",IFERROR(INDEX(Setup!$C$8:$C$37,MATCH(D155,Setup!$B$8:$B$37,0)),"Check category"))</f>
        <v/>
      </c>
      <c r="G155" s="23" t="str">
        <f aca="false">IF(B155="","",MONTH(B155))</f>
        <v/>
      </c>
      <c r="H155" s="23" t="str">
        <f aca="false">IF(B155="","",YEAR(B155))</f>
        <v/>
      </c>
    </row>
    <row r="156" customFormat="false" ht="15" hidden="false" customHeight="false" outlineLevel="0" collapsed="false">
      <c r="B156" s="21"/>
      <c r="C156" s="16"/>
      <c r="D156" s="16"/>
      <c r="E156" s="17"/>
      <c r="F156" s="22" t="str">
        <f aca="false">IF(D156="","",IFERROR(INDEX(Setup!$C$8:$C$37,MATCH(D156,Setup!$B$8:$B$37,0)),"Check category"))</f>
        <v/>
      </c>
      <c r="G156" s="23" t="str">
        <f aca="false">IF(B156="","",MONTH(B156))</f>
        <v/>
      </c>
      <c r="H156" s="23" t="str">
        <f aca="false">IF(B156="","",YEAR(B156))</f>
        <v/>
      </c>
    </row>
    <row r="157" customFormat="false" ht="15" hidden="false" customHeight="false" outlineLevel="0" collapsed="false">
      <c r="B157" s="21"/>
      <c r="C157" s="16"/>
      <c r="D157" s="16"/>
      <c r="E157" s="17"/>
      <c r="F157" s="22" t="str">
        <f aca="false">IF(D157="","",IFERROR(INDEX(Setup!$C$8:$C$37,MATCH(D157,Setup!$B$8:$B$37,0)),"Check category"))</f>
        <v/>
      </c>
      <c r="G157" s="23" t="str">
        <f aca="false">IF(B157="","",MONTH(B157))</f>
        <v/>
      </c>
      <c r="H157" s="23" t="str">
        <f aca="false">IF(B157="","",YEAR(B157))</f>
        <v/>
      </c>
    </row>
    <row r="158" customFormat="false" ht="15" hidden="false" customHeight="false" outlineLevel="0" collapsed="false">
      <c r="B158" s="21"/>
      <c r="C158" s="16"/>
      <c r="D158" s="16"/>
      <c r="E158" s="17"/>
      <c r="F158" s="22" t="str">
        <f aca="false">IF(D158="","",IFERROR(INDEX(Setup!$C$8:$C$37,MATCH(D158,Setup!$B$8:$B$37,0)),"Check category"))</f>
        <v/>
      </c>
      <c r="G158" s="23" t="str">
        <f aca="false">IF(B158="","",MONTH(B158))</f>
        <v/>
      </c>
      <c r="H158" s="23" t="str">
        <f aca="false">IF(B158="","",YEAR(B158))</f>
        <v/>
      </c>
    </row>
    <row r="159" customFormat="false" ht="15" hidden="false" customHeight="false" outlineLevel="0" collapsed="false">
      <c r="B159" s="21"/>
      <c r="C159" s="16"/>
      <c r="D159" s="16"/>
      <c r="E159" s="17"/>
      <c r="F159" s="22" t="str">
        <f aca="false">IF(D159="","",IFERROR(INDEX(Setup!$C$8:$C$37,MATCH(D159,Setup!$B$8:$B$37,0)),"Check category"))</f>
        <v/>
      </c>
      <c r="G159" s="23" t="str">
        <f aca="false">IF(B159="","",MONTH(B159))</f>
        <v/>
      </c>
      <c r="H159" s="23" t="str">
        <f aca="false">IF(B159="","",YEAR(B159))</f>
        <v/>
      </c>
    </row>
    <row r="160" customFormat="false" ht="15" hidden="false" customHeight="false" outlineLevel="0" collapsed="false">
      <c r="B160" s="21"/>
      <c r="C160" s="16"/>
      <c r="D160" s="16"/>
      <c r="E160" s="17"/>
      <c r="F160" s="22" t="str">
        <f aca="false">IF(D160="","",IFERROR(INDEX(Setup!$C$8:$C$37,MATCH(D160,Setup!$B$8:$B$37,0)),"Check category"))</f>
        <v/>
      </c>
      <c r="G160" s="23" t="str">
        <f aca="false">IF(B160="","",MONTH(B160))</f>
        <v/>
      </c>
      <c r="H160" s="23" t="str">
        <f aca="false">IF(B160="","",YEAR(B160))</f>
        <v/>
      </c>
    </row>
    <row r="161" customFormat="false" ht="15" hidden="false" customHeight="false" outlineLevel="0" collapsed="false">
      <c r="B161" s="21"/>
      <c r="C161" s="16"/>
      <c r="D161" s="16"/>
      <c r="E161" s="17"/>
      <c r="F161" s="22" t="str">
        <f aca="false">IF(D161="","",IFERROR(INDEX(Setup!$C$8:$C$37,MATCH(D161,Setup!$B$8:$B$37,0)),"Check category"))</f>
        <v/>
      </c>
      <c r="G161" s="23" t="str">
        <f aca="false">IF(B161="","",MONTH(B161))</f>
        <v/>
      </c>
      <c r="H161" s="23" t="str">
        <f aca="false">IF(B161="","",YEAR(B161))</f>
        <v/>
      </c>
    </row>
    <row r="162" customFormat="false" ht="15" hidden="false" customHeight="false" outlineLevel="0" collapsed="false">
      <c r="B162" s="21"/>
      <c r="C162" s="16"/>
      <c r="D162" s="16"/>
      <c r="E162" s="17"/>
      <c r="F162" s="22" t="str">
        <f aca="false">IF(D162="","",IFERROR(INDEX(Setup!$C$8:$C$37,MATCH(D162,Setup!$B$8:$B$37,0)),"Check category"))</f>
        <v/>
      </c>
      <c r="G162" s="23" t="str">
        <f aca="false">IF(B162="","",MONTH(B162))</f>
        <v/>
      </c>
      <c r="H162" s="23" t="str">
        <f aca="false">IF(B162="","",YEAR(B162))</f>
        <v/>
      </c>
    </row>
    <row r="163" customFormat="false" ht="15" hidden="false" customHeight="false" outlineLevel="0" collapsed="false">
      <c r="B163" s="21"/>
      <c r="C163" s="16"/>
      <c r="D163" s="16"/>
      <c r="E163" s="17"/>
      <c r="F163" s="22" t="str">
        <f aca="false">IF(D163="","",IFERROR(INDEX(Setup!$C$8:$C$37,MATCH(D163,Setup!$B$8:$B$37,0)),"Check category"))</f>
        <v/>
      </c>
      <c r="G163" s="23" t="str">
        <f aca="false">IF(B163="","",MONTH(B163))</f>
        <v/>
      </c>
      <c r="H163" s="23" t="str">
        <f aca="false">IF(B163="","",YEAR(B163))</f>
        <v/>
      </c>
    </row>
    <row r="164" customFormat="false" ht="15" hidden="false" customHeight="false" outlineLevel="0" collapsed="false">
      <c r="B164" s="21"/>
      <c r="C164" s="16"/>
      <c r="D164" s="16"/>
      <c r="E164" s="17"/>
      <c r="F164" s="22" t="str">
        <f aca="false">IF(D164="","",IFERROR(INDEX(Setup!$C$8:$C$37,MATCH(D164,Setup!$B$8:$B$37,0)),"Check category"))</f>
        <v/>
      </c>
      <c r="G164" s="23" t="str">
        <f aca="false">IF(B164="","",MONTH(B164))</f>
        <v/>
      </c>
      <c r="H164" s="23" t="str">
        <f aca="false">IF(B164="","",YEAR(B164))</f>
        <v/>
      </c>
    </row>
    <row r="165" customFormat="false" ht="15" hidden="false" customHeight="false" outlineLevel="0" collapsed="false">
      <c r="B165" s="21"/>
      <c r="C165" s="16"/>
      <c r="D165" s="16"/>
      <c r="E165" s="17"/>
      <c r="F165" s="22" t="str">
        <f aca="false">IF(D165="","",IFERROR(INDEX(Setup!$C$8:$C$37,MATCH(D165,Setup!$B$8:$B$37,0)),"Check category"))</f>
        <v/>
      </c>
      <c r="G165" s="23" t="str">
        <f aca="false">IF(B165="","",MONTH(B165))</f>
        <v/>
      </c>
      <c r="H165" s="23" t="str">
        <f aca="false">IF(B165="","",YEAR(B165))</f>
        <v/>
      </c>
    </row>
    <row r="166" customFormat="false" ht="15" hidden="false" customHeight="false" outlineLevel="0" collapsed="false">
      <c r="B166" s="21"/>
      <c r="C166" s="16"/>
      <c r="D166" s="16"/>
      <c r="E166" s="17"/>
      <c r="F166" s="22" t="str">
        <f aca="false">IF(D166="","",IFERROR(INDEX(Setup!$C$8:$C$37,MATCH(D166,Setup!$B$8:$B$37,0)),"Check category"))</f>
        <v/>
      </c>
      <c r="G166" s="23" t="str">
        <f aca="false">IF(B166="","",MONTH(B166))</f>
        <v/>
      </c>
      <c r="H166" s="23" t="str">
        <f aca="false">IF(B166="","",YEAR(B166))</f>
        <v/>
      </c>
    </row>
    <row r="167" customFormat="false" ht="15" hidden="false" customHeight="false" outlineLevel="0" collapsed="false">
      <c r="B167" s="21"/>
      <c r="C167" s="16"/>
      <c r="D167" s="16"/>
      <c r="E167" s="17"/>
      <c r="F167" s="22" t="str">
        <f aca="false">IF(D167="","",IFERROR(INDEX(Setup!$C$8:$C$37,MATCH(D167,Setup!$B$8:$B$37,0)),"Check category"))</f>
        <v/>
      </c>
      <c r="G167" s="23" t="str">
        <f aca="false">IF(B167="","",MONTH(B167))</f>
        <v/>
      </c>
      <c r="H167" s="23" t="str">
        <f aca="false">IF(B167="","",YEAR(B167))</f>
        <v/>
      </c>
    </row>
    <row r="168" customFormat="false" ht="15" hidden="false" customHeight="false" outlineLevel="0" collapsed="false">
      <c r="B168" s="21"/>
      <c r="C168" s="16"/>
      <c r="D168" s="16"/>
      <c r="E168" s="17"/>
      <c r="F168" s="22" t="str">
        <f aca="false">IF(D168="","",IFERROR(INDEX(Setup!$C$8:$C$37,MATCH(D168,Setup!$B$8:$B$37,0)),"Check category"))</f>
        <v/>
      </c>
      <c r="G168" s="23" t="str">
        <f aca="false">IF(B168="","",MONTH(B168))</f>
        <v/>
      </c>
      <c r="H168" s="23" t="str">
        <f aca="false">IF(B168="","",YEAR(B168))</f>
        <v/>
      </c>
    </row>
    <row r="169" customFormat="false" ht="15" hidden="false" customHeight="false" outlineLevel="0" collapsed="false">
      <c r="B169" s="21"/>
      <c r="C169" s="16"/>
      <c r="D169" s="16"/>
      <c r="E169" s="17"/>
      <c r="F169" s="22" t="str">
        <f aca="false">IF(D169="","",IFERROR(INDEX(Setup!$C$8:$C$37,MATCH(D169,Setup!$B$8:$B$37,0)),"Check category"))</f>
        <v/>
      </c>
      <c r="G169" s="23" t="str">
        <f aca="false">IF(B169="","",MONTH(B169))</f>
        <v/>
      </c>
      <c r="H169" s="23" t="str">
        <f aca="false">IF(B169="","",YEAR(B169))</f>
        <v/>
      </c>
    </row>
    <row r="170" customFormat="false" ht="15" hidden="false" customHeight="false" outlineLevel="0" collapsed="false">
      <c r="B170" s="21"/>
      <c r="C170" s="16"/>
      <c r="D170" s="16"/>
      <c r="E170" s="17"/>
      <c r="F170" s="22" t="str">
        <f aca="false">IF(D170="","",IFERROR(INDEX(Setup!$C$8:$C$37,MATCH(D170,Setup!$B$8:$B$37,0)),"Check category"))</f>
        <v/>
      </c>
      <c r="G170" s="23" t="str">
        <f aca="false">IF(B170="","",MONTH(B170))</f>
        <v/>
      </c>
      <c r="H170" s="23" t="str">
        <f aca="false">IF(B170="","",YEAR(B170))</f>
        <v/>
      </c>
    </row>
    <row r="171" customFormat="false" ht="15" hidden="false" customHeight="false" outlineLevel="0" collapsed="false">
      <c r="B171" s="21"/>
      <c r="C171" s="16"/>
      <c r="D171" s="16"/>
      <c r="E171" s="17"/>
      <c r="F171" s="22" t="str">
        <f aca="false">IF(D171="","",IFERROR(INDEX(Setup!$C$8:$C$37,MATCH(D171,Setup!$B$8:$B$37,0)),"Check category"))</f>
        <v/>
      </c>
      <c r="G171" s="23" t="str">
        <f aca="false">IF(B171="","",MONTH(B171))</f>
        <v/>
      </c>
      <c r="H171" s="23" t="str">
        <f aca="false">IF(B171="","",YEAR(B171))</f>
        <v/>
      </c>
    </row>
    <row r="172" customFormat="false" ht="15" hidden="false" customHeight="false" outlineLevel="0" collapsed="false">
      <c r="B172" s="21"/>
      <c r="C172" s="16"/>
      <c r="D172" s="16"/>
      <c r="E172" s="17"/>
      <c r="F172" s="22" t="str">
        <f aca="false">IF(D172="","",IFERROR(INDEX(Setup!$C$8:$C$37,MATCH(D172,Setup!$B$8:$B$37,0)),"Check category"))</f>
        <v/>
      </c>
      <c r="G172" s="23" t="str">
        <f aca="false">IF(B172="","",MONTH(B172))</f>
        <v/>
      </c>
      <c r="H172" s="23" t="str">
        <f aca="false">IF(B172="","",YEAR(B172))</f>
        <v/>
      </c>
    </row>
    <row r="173" customFormat="false" ht="15" hidden="false" customHeight="false" outlineLevel="0" collapsed="false">
      <c r="B173" s="21"/>
      <c r="C173" s="16"/>
      <c r="D173" s="16"/>
      <c r="E173" s="17"/>
      <c r="F173" s="22" t="str">
        <f aca="false">IF(D173="","",IFERROR(INDEX(Setup!$C$8:$C$37,MATCH(D173,Setup!$B$8:$B$37,0)),"Check category"))</f>
        <v/>
      </c>
      <c r="G173" s="23" t="str">
        <f aca="false">IF(B173="","",MONTH(B173))</f>
        <v/>
      </c>
      <c r="H173" s="23" t="str">
        <f aca="false">IF(B173="","",YEAR(B173))</f>
        <v/>
      </c>
    </row>
    <row r="174" customFormat="false" ht="15" hidden="false" customHeight="false" outlineLevel="0" collapsed="false">
      <c r="B174" s="21"/>
      <c r="C174" s="16"/>
      <c r="D174" s="16"/>
      <c r="E174" s="17"/>
      <c r="F174" s="22" t="str">
        <f aca="false">IF(D174="","",IFERROR(INDEX(Setup!$C$8:$C$37,MATCH(D174,Setup!$B$8:$B$37,0)),"Check category"))</f>
        <v/>
      </c>
      <c r="G174" s="23" t="str">
        <f aca="false">IF(B174="","",MONTH(B174))</f>
        <v/>
      </c>
      <c r="H174" s="23" t="str">
        <f aca="false">IF(B174="","",YEAR(B174))</f>
        <v/>
      </c>
    </row>
    <row r="175" customFormat="false" ht="15" hidden="false" customHeight="false" outlineLevel="0" collapsed="false">
      <c r="B175" s="21"/>
      <c r="C175" s="16"/>
      <c r="D175" s="16"/>
      <c r="E175" s="17"/>
      <c r="F175" s="22" t="str">
        <f aca="false">IF(D175="","",IFERROR(INDEX(Setup!$C$8:$C$37,MATCH(D175,Setup!$B$8:$B$37,0)),"Check category"))</f>
        <v/>
      </c>
      <c r="G175" s="23" t="str">
        <f aca="false">IF(B175="","",MONTH(B175))</f>
        <v/>
      </c>
      <c r="H175" s="23" t="str">
        <f aca="false">IF(B175="","",YEAR(B175))</f>
        <v/>
      </c>
    </row>
    <row r="176" customFormat="false" ht="15" hidden="false" customHeight="false" outlineLevel="0" collapsed="false">
      <c r="B176" s="21"/>
      <c r="C176" s="16"/>
      <c r="D176" s="16"/>
      <c r="E176" s="17"/>
      <c r="F176" s="22" t="str">
        <f aca="false">IF(D176="","",IFERROR(INDEX(Setup!$C$8:$C$37,MATCH(D176,Setup!$B$8:$B$37,0)),"Check category"))</f>
        <v/>
      </c>
      <c r="G176" s="23" t="str">
        <f aca="false">IF(B176="","",MONTH(B176))</f>
        <v/>
      </c>
      <c r="H176" s="23" t="str">
        <f aca="false">IF(B176="","",YEAR(B176))</f>
        <v/>
      </c>
    </row>
    <row r="177" customFormat="false" ht="15" hidden="false" customHeight="false" outlineLevel="0" collapsed="false">
      <c r="B177" s="21"/>
      <c r="C177" s="16"/>
      <c r="D177" s="16"/>
      <c r="E177" s="17"/>
      <c r="F177" s="22" t="str">
        <f aca="false">IF(D177="","",IFERROR(INDEX(Setup!$C$8:$C$37,MATCH(D177,Setup!$B$8:$B$37,0)),"Check category"))</f>
        <v/>
      </c>
      <c r="G177" s="23" t="str">
        <f aca="false">IF(B177="","",MONTH(B177))</f>
        <v/>
      </c>
      <c r="H177" s="23" t="str">
        <f aca="false">IF(B177="","",YEAR(B177))</f>
        <v/>
      </c>
    </row>
    <row r="178" customFormat="false" ht="15" hidden="false" customHeight="false" outlineLevel="0" collapsed="false">
      <c r="B178" s="21"/>
      <c r="C178" s="16"/>
      <c r="D178" s="16"/>
      <c r="E178" s="17"/>
      <c r="F178" s="22" t="str">
        <f aca="false">IF(D178="","",IFERROR(INDEX(Setup!$C$8:$C$37,MATCH(D178,Setup!$B$8:$B$37,0)),"Check category"))</f>
        <v/>
      </c>
      <c r="G178" s="23" t="str">
        <f aca="false">IF(B178="","",MONTH(B178))</f>
        <v/>
      </c>
      <c r="H178" s="23" t="str">
        <f aca="false">IF(B178="","",YEAR(B178))</f>
        <v/>
      </c>
    </row>
    <row r="179" customFormat="false" ht="15" hidden="false" customHeight="false" outlineLevel="0" collapsed="false">
      <c r="B179" s="21"/>
      <c r="C179" s="16"/>
      <c r="D179" s="16"/>
      <c r="E179" s="17"/>
      <c r="F179" s="22" t="str">
        <f aca="false">IF(D179="","",IFERROR(INDEX(Setup!$C$8:$C$37,MATCH(D179,Setup!$B$8:$B$37,0)),"Check category"))</f>
        <v/>
      </c>
      <c r="G179" s="23" t="str">
        <f aca="false">IF(B179="","",MONTH(B179))</f>
        <v/>
      </c>
      <c r="H179" s="23" t="str">
        <f aca="false">IF(B179="","",YEAR(B179))</f>
        <v/>
      </c>
    </row>
    <row r="180" customFormat="false" ht="15" hidden="false" customHeight="false" outlineLevel="0" collapsed="false">
      <c r="B180" s="21"/>
      <c r="C180" s="16"/>
      <c r="D180" s="16"/>
      <c r="E180" s="17"/>
      <c r="F180" s="22" t="str">
        <f aca="false">IF(D180="","",IFERROR(INDEX(Setup!$C$8:$C$37,MATCH(D180,Setup!$B$8:$B$37,0)),"Check category"))</f>
        <v/>
      </c>
      <c r="G180" s="23" t="str">
        <f aca="false">IF(B180="","",MONTH(B180))</f>
        <v/>
      </c>
      <c r="H180" s="23" t="str">
        <f aca="false">IF(B180="","",YEAR(B180))</f>
        <v/>
      </c>
    </row>
    <row r="181" customFormat="false" ht="15" hidden="false" customHeight="false" outlineLevel="0" collapsed="false">
      <c r="B181" s="21"/>
      <c r="C181" s="16"/>
      <c r="D181" s="16"/>
      <c r="E181" s="17"/>
      <c r="F181" s="22" t="str">
        <f aca="false">IF(D181="","",IFERROR(INDEX(Setup!$C$8:$C$37,MATCH(D181,Setup!$B$8:$B$37,0)),"Check category"))</f>
        <v/>
      </c>
      <c r="G181" s="23" t="str">
        <f aca="false">IF(B181="","",MONTH(B181))</f>
        <v/>
      </c>
      <c r="H181" s="23" t="str">
        <f aca="false">IF(B181="","",YEAR(B181))</f>
        <v/>
      </c>
    </row>
    <row r="182" customFormat="false" ht="15" hidden="false" customHeight="false" outlineLevel="0" collapsed="false">
      <c r="B182" s="21"/>
      <c r="C182" s="16"/>
      <c r="D182" s="16"/>
      <c r="E182" s="17"/>
      <c r="F182" s="22" t="str">
        <f aca="false">IF(D182="","",IFERROR(INDEX(Setup!$C$8:$C$37,MATCH(D182,Setup!$B$8:$B$37,0)),"Check category"))</f>
        <v/>
      </c>
      <c r="G182" s="23" t="str">
        <f aca="false">IF(B182="","",MONTH(B182))</f>
        <v/>
      </c>
      <c r="H182" s="23" t="str">
        <f aca="false">IF(B182="","",YEAR(B182))</f>
        <v/>
      </c>
    </row>
    <row r="183" customFormat="false" ht="15" hidden="false" customHeight="false" outlineLevel="0" collapsed="false">
      <c r="B183" s="21"/>
      <c r="C183" s="16"/>
      <c r="D183" s="16"/>
      <c r="E183" s="17"/>
      <c r="F183" s="22" t="str">
        <f aca="false">IF(D183="","",IFERROR(INDEX(Setup!$C$8:$C$37,MATCH(D183,Setup!$B$8:$B$37,0)),"Check category"))</f>
        <v/>
      </c>
      <c r="G183" s="23" t="str">
        <f aca="false">IF(B183="","",MONTH(B183))</f>
        <v/>
      </c>
      <c r="H183" s="23" t="str">
        <f aca="false">IF(B183="","",YEAR(B183))</f>
        <v/>
      </c>
    </row>
    <row r="184" customFormat="false" ht="15" hidden="false" customHeight="false" outlineLevel="0" collapsed="false">
      <c r="B184" s="21"/>
      <c r="C184" s="16"/>
      <c r="D184" s="16"/>
      <c r="E184" s="17"/>
      <c r="F184" s="22" t="str">
        <f aca="false">IF(D184="","",IFERROR(INDEX(Setup!$C$8:$C$37,MATCH(D184,Setup!$B$8:$B$37,0)),"Check category"))</f>
        <v/>
      </c>
      <c r="G184" s="23" t="str">
        <f aca="false">IF(B184="","",MONTH(B184))</f>
        <v/>
      </c>
      <c r="H184" s="23" t="str">
        <f aca="false">IF(B184="","",YEAR(B184))</f>
        <v/>
      </c>
    </row>
    <row r="185" customFormat="false" ht="15" hidden="false" customHeight="false" outlineLevel="0" collapsed="false">
      <c r="B185" s="21"/>
      <c r="C185" s="16"/>
      <c r="D185" s="16"/>
      <c r="E185" s="17"/>
      <c r="F185" s="22" t="str">
        <f aca="false">IF(D185="","",IFERROR(INDEX(Setup!$C$8:$C$37,MATCH(D185,Setup!$B$8:$B$37,0)),"Check category"))</f>
        <v/>
      </c>
      <c r="G185" s="23" t="str">
        <f aca="false">IF(B185="","",MONTH(B185))</f>
        <v/>
      </c>
      <c r="H185" s="23" t="str">
        <f aca="false">IF(B185="","",YEAR(B185))</f>
        <v/>
      </c>
    </row>
    <row r="186" customFormat="false" ht="15" hidden="false" customHeight="false" outlineLevel="0" collapsed="false">
      <c r="B186" s="21"/>
      <c r="C186" s="16"/>
      <c r="D186" s="16"/>
      <c r="E186" s="17"/>
      <c r="F186" s="22" t="str">
        <f aca="false">IF(D186="","",IFERROR(INDEX(Setup!$C$8:$C$37,MATCH(D186,Setup!$B$8:$B$37,0)),"Check category"))</f>
        <v/>
      </c>
      <c r="G186" s="23" t="str">
        <f aca="false">IF(B186="","",MONTH(B186))</f>
        <v/>
      </c>
      <c r="H186" s="23" t="str">
        <f aca="false">IF(B186="","",YEAR(B186))</f>
        <v/>
      </c>
    </row>
    <row r="187" customFormat="false" ht="15" hidden="false" customHeight="false" outlineLevel="0" collapsed="false">
      <c r="B187" s="21"/>
      <c r="C187" s="16"/>
      <c r="D187" s="16"/>
      <c r="E187" s="17"/>
      <c r="F187" s="22" t="str">
        <f aca="false">IF(D187="","",IFERROR(INDEX(Setup!$C$8:$C$37,MATCH(D187,Setup!$B$8:$B$37,0)),"Check category"))</f>
        <v/>
      </c>
      <c r="G187" s="23" t="str">
        <f aca="false">IF(B187="","",MONTH(B187))</f>
        <v/>
      </c>
      <c r="H187" s="23" t="str">
        <f aca="false">IF(B187="","",YEAR(B187))</f>
        <v/>
      </c>
    </row>
    <row r="188" customFormat="false" ht="15" hidden="false" customHeight="false" outlineLevel="0" collapsed="false">
      <c r="B188" s="21"/>
      <c r="C188" s="16"/>
      <c r="D188" s="16"/>
      <c r="E188" s="17"/>
      <c r="F188" s="22" t="str">
        <f aca="false">IF(D188="","",IFERROR(INDEX(Setup!$C$8:$C$37,MATCH(D188,Setup!$B$8:$B$37,0)),"Check category"))</f>
        <v/>
      </c>
      <c r="G188" s="23" t="str">
        <f aca="false">IF(B188="","",MONTH(B188))</f>
        <v/>
      </c>
      <c r="H188" s="23" t="str">
        <f aca="false">IF(B188="","",YEAR(B188))</f>
        <v/>
      </c>
    </row>
    <row r="189" customFormat="false" ht="15" hidden="false" customHeight="false" outlineLevel="0" collapsed="false">
      <c r="B189" s="21"/>
      <c r="C189" s="16"/>
      <c r="D189" s="16"/>
      <c r="E189" s="17"/>
      <c r="F189" s="22" t="str">
        <f aca="false">IF(D189="","",IFERROR(INDEX(Setup!$C$8:$C$37,MATCH(D189,Setup!$B$8:$B$37,0)),"Check category"))</f>
        <v/>
      </c>
      <c r="G189" s="23" t="str">
        <f aca="false">IF(B189="","",MONTH(B189))</f>
        <v/>
      </c>
      <c r="H189" s="23" t="str">
        <f aca="false">IF(B189="","",YEAR(B189))</f>
        <v/>
      </c>
    </row>
    <row r="190" customFormat="false" ht="15" hidden="false" customHeight="false" outlineLevel="0" collapsed="false">
      <c r="B190" s="21"/>
      <c r="C190" s="16"/>
      <c r="D190" s="16"/>
      <c r="E190" s="17"/>
      <c r="F190" s="22" t="str">
        <f aca="false">IF(D190="","",IFERROR(INDEX(Setup!$C$8:$C$37,MATCH(D190,Setup!$B$8:$B$37,0)),"Check category"))</f>
        <v/>
      </c>
      <c r="G190" s="23" t="str">
        <f aca="false">IF(B190="","",MONTH(B190))</f>
        <v/>
      </c>
      <c r="H190" s="23" t="str">
        <f aca="false">IF(B190="","",YEAR(B190))</f>
        <v/>
      </c>
    </row>
    <row r="191" customFormat="false" ht="15" hidden="false" customHeight="false" outlineLevel="0" collapsed="false">
      <c r="B191" s="21"/>
      <c r="C191" s="16"/>
      <c r="D191" s="16"/>
      <c r="E191" s="17"/>
      <c r="F191" s="22" t="str">
        <f aca="false">IF(D191="","",IFERROR(INDEX(Setup!$C$8:$C$37,MATCH(D191,Setup!$B$8:$B$37,0)),"Check category"))</f>
        <v/>
      </c>
      <c r="G191" s="23" t="str">
        <f aca="false">IF(B191="","",MONTH(B191))</f>
        <v/>
      </c>
      <c r="H191" s="23" t="str">
        <f aca="false">IF(B191="","",YEAR(B191))</f>
        <v/>
      </c>
    </row>
    <row r="192" customFormat="false" ht="15" hidden="false" customHeight="false" outlineLevel="0" collapsed="false">
      <c r="B192" s="21"/>
      <c r="C192" s="16"/>
      <c r="D192" s="16"/>
      <c r="E192" s="17"/>
      <c r="F192" s="22" t="str">
        <f aca="false">IF(D192="","",IFERROR(INDEX(Setup!$C$8:$C$37,MATCH(D192,Setup!$B$8:$B$37,0)),"Check category"))</f>
        <v/>
      </c>
      <c r="G192" s="23" t="str">
        <f aca="false">IF(B192="","",MONTH(B192))</f>
        <v/>
      </c>
      <c r="H192" s="23" t="str">
        <f aca="false">IF(B192="","",YEAR(B192))</f>
        <v/>
      </c>
    </row>
    <row r="193" customFormat="false" ht="15" hidden="false" customHeight="false" outlineLevel="0" collapsed="false">
      <c r="B193" s="21"/>
      <c r="C193" s="16"/>
      <c r="D193" s="16"/>
      <c r="E193" s="17"/>
      <c r="F193" s="22" t="str">
        <f aca="false">IF(D193="","",IFERROR(INDEX(Setup!$C$8:$C$37,MATCH(D193,Setup!$B$8:$B$37,0)),"Check category"))</f>
        <v/>
      </c>
      <c r="G193" s="23" t="str">
        <f aca="false">IF(B193="","",MONTH(B193))</f>
        <v/>
      </c>
      <c r="H193" s="23" t="str">
        <f aca="false">IF(B193="","",YEAR(B193))</f>
        <v/>
      </c>
    </row>
    <row r="194" customFormat="false" ht="15" hidden="false" customHeight="false" outlineLevel="0" collapsed="false">
      <c r="B194" s="21"/>
      <c r="C194" s="16"/>
      <c r="D194" s="16"/>
      <c r="E194" s="17"/>
      <c r="F194" s="22" t="str">
        <f aca="false">IF(D194="","",IFERROR(INDEX(Setup!$C$8:$C$37,MATCH(D194,Setup!$B$8:$B$37,0)),"Check category"))</f>
        <v/>
      </c>
      <c r="G194" s="23" t="str">
        <f aca="false">IF(B194="","",MONTH(B194))</f>
        <v/>
      </c>
      <c r="H194" s="23" t="str">
        <f aca="false">IF(B194="","",YEAR(B194))</f>
        <v/>
      </c>
    </row>
    <row r="195" customFormat="false" ht="15" hidden="false" customHeight="false" outlineLevel="0" collapsed="false">
      <c r="B195" s="21"/>
      <c r="C195" s="16"/>
      <c r="D195" s="16"/>
      <c r="E195" s="17"/>
      <c r="F195" s="22" t="str">
        <f aca="false">IF(D195="","",IFERROR(INDEX(Setup!$C$8:$C$37,MATCH(D195,Setup!$B$8:$B$37,0)),"Check category"))</f>
        <v/>
      </c>
      <c r="G195" s="23" t="str">
        <f aca="false">IF(B195="","",MONTH(B195))</f>
        <v/>
      </c>
      <c r="H195" s="23" t="str">
        <f aca="false">IF(B195="","",YEAR(B195))</f>
        <v/>
      </c>
    </row>
    <row r="196" customFormat="false" ht="15" hidden="false" customHeight="false" outlineLevel="0" collapsed="false">
      <c r="B196" s="21"/>
      <c r="C196" s="16"/>
      <c r="D196" s="16"/>
      <c r="E196" s="17"/>
      <c r="F196" s="22" t="str">
        <f aca="false">IF(D196="","",IFERROR(INDEX(Setup!$C$8:$C$37,MATCH(D196,Setup!$B$8:$B$37,0)),"Check category"))</f>
        <v/>
      </c>
      <c r="G196" s="23" t="str">
        <f aca="false">IF(B196="","",MONTH(B196))</f>
        <v/>
      </c>
      <c r="H196" s="23" t="str">
        <f aca="false">IF(B196="","",YEAR(B196))</f>
        <v/>
      </c>
    </row>
    <row r="197" customFormat="false" ht="15" hidden="false" customHeight="false" outlineLevel="0" collapsed="false">
      <c r="B197" s="21"/>
      <c r="C197" s="16"/>
      <c r="D197" s="16"/>
      <c r="E197" s="17"/>
      <c r="F197" s="22" t="str">
        <f aca="false">IF(D197="","",IFERROR(INDEX(Setup!$C$8:$C$37,MATCH(D197,Setup!$B$8:$B$37,0)),"Check category"))</f>
        <v/>
      </c>
      <c r="G197" s="23" t="str">
        <f aca="false">IF(B197="","",MONTH(B197))</f>
        <v/>
      </c>
      <c r="H197" s="23" t="str">
        <f aca="false">IF(B197="","",YEAR(B197))</f>
        <v/>
      </c>
    </row>
    <row r="198" customFormat="false" ht="15" hidden="false" customHeight="false" outlineLevel="0" collapsed="false">
      <c r="B198" s="21"/>
      <c r="C198" s="16"/>
      <c r="D198" s="16"/>
      <c r="E198" s="17"/>
      <c r="F198" s="22" t="str">
        <f aca="false">IF(D198="","",IFERROR(INDEX(Setup!$C$8:$C$37,MATCH(D198,Setup!$B$8:$B$37,0)),"Check category"))</f>
        <v/>
      </c>
      <c r="G198" s="23" t="str">
        <f aca="false">IF(B198="","",MONTH(B198))</f>
        <v/>
      </c>
      <c r="H198" s="23" t="str">
        <f aca="false">IF(B198="","",YEAR(B198))</f>
        <v/>
      </c>
    </row>
    <row r="199" customFormat="false" ht="15" hidden="false" customHeight="false" outlineLevel="0" collapsed="false">
      <c r="B199" s="21"/>
      <c r="C199" s="16"/>
      <c r="D199" s="16"/>
      <c r="E199" s="17"/>
      <c r="F199" s="22" t="str">
        <f aca="false">IF(D199="","",IFERROR(INDEX(Setup!$C$8:$C$37,MATCH(D199,Setup!$B$8:$B$37,0)),"Check category"))</f>
        <v/>
      </c>
      <c r="G199" s="23" t="str">
        <f aca="false">IF(B199="","",MONTH(B199))</f>
        <v/>
      </c>
      <c r="H199" s="23" t="str">
        <f aca="false">IF(B199="","",YEAR(B199))</f>
        <v/>
      </c>
    </row>
    <row r="200" customFormat="false" ht="15" hidden="false" customHeight="false" outlineLevel="0" collapsed="false">
      <c r="B200" s="21"/>
      <c r="C200" s="16"/>
      <c r="D200" s="16"/>
      <c r="E200" s="17"/>
      <c r="F200" s="22" t="str">
        <f aca="false">IF(D200="","",IFERROR(INDEX(Setup!$C$8:$C$37,MATCH(D200,Setup!$B$8:$B$37,0)),"Check category"))</f>
        <v/>
      </c>
      <c r="G200" s="23" t="str">
        <f aca="false">IF(B200="","",MONTH(B200))</f>
        <v/>
      </c>
      <c r="H200" s="23" t="str">
        <f aca="false">IF(B200="","",YEAR(B200))</f>
        <v/>
      </c>
    </row>
    <row r="201" customFormat="false" ht="15" hidden="false" customHeight="false" outlineLevel="0" collapsed="false">
      <c r="B201" s="21"/>
      <c r="C201" s="16"/>
      <c r="D201" s="16"/>
      <c r="E201" s="17"/>
      <c r="F201" s="22" t="str">
        <f aca="false">IF(D201="","",IFERROR(INDEX(Setup!$C$8:$C$37,MATCH(D201,Setup!$B$8:$B$37,0)),"Check category"))</f>
        <v/>
      </c>
      <c r="G201" s="23" t="str">
        <f aca="false">IF(B201="","",MONTH(B201))</f>
        <v/>
      </c>
      <c r="H201" s="23" t="str">
        <f aca="false">IF(B201="","",YEAR(B201))</f>
        <v/>
      </c>
    </row>
    <row r="202" customFormat="false" ht="15" hidden="false" customHeight="false" outlineLevel="0" collapsed="false">
      <c r="B202" s="21"/>
      <c r="C202" s="16"/>
      <c r="D202" s="16"/>
      <c r="E202" s="17"/>
      <c r="F202" s="22" t="str">
        <f aca="false">IF(D202="","",IFERROR(INDEX(Setup!$C$8:$C$37,MATCH(D202,Setup!$B$8:$B$37,0)),"Check category"))</f>
        <v/>
      </c>
      <c r="G202" s="23" t="str">
        <f aca="false">IF(B202="","",MONTH(B202))</f>
        <v/>
      </c>
      <c r="H202" s="23" t="str">
        <f aca="false">IF(B202="","",YEAR(B202))</f>
        <v/>
      </c>
    </row>
    <row r="203" customFormat="false" ht="15" hidden="false" customHeight="false" outlineLevel="0" collapsed="false">
      <c r="B203" s="21"/>
      <c r="C203" s="16"/>
      <c r="D203" s="16"/>
      <c r="E203" s="17"/>
      <c r="F203" s="22" t="str">
        <f aca="false">IF(D203="","",IFERROR(INDEX(Setup!$C$8:$C$37,MATCH(D203,Setup!$B$8:$B$37,0)),"Check category"))</f>
        <v/>
      </c>
      <c r="G203" s="23" t="str">
        <f aca="false">IF(B203="","",MONTH(B203))</f>
        <v/>
      </c>
      <c r="H203" s="23" t="str">
        <f aca="false">IF(B203="","",YEAR(B203))</f>
        <v/>
      </c>
    </row>
    <row r="204" customFormat="false" ht="15" hidden="false" customHeight="false" outlineLevel="0" collapsed="false">
      <c r="B204" s="21"/>
      <c r="C204" s="16"/>
      <c r="D204" s="16"/>
      <c r="E204" s="17"/>
      <c r="F204" s="22" t="str">
        <f aca="false">IF(D204="","",IFERROR(INDEX(Setup!$C$8:$C$37,MATCH(D204,Setup!$B$8:$B$37,0)),"Check category"))</f>
        <v/>
      </c>
      <c r="G204" s="23" t="str">
        <f aca="false">IF(B204="","",MONTH(B204))</f>
        <v/>
      </c>
      <c r="H204" s="23" t="str">
        <f aca="false">IF(B204="","",YEAR(B204))</f>
        <v/>
      </c>
    </row>
    <row r="205" customFormat="false" ht="15" hidden="false" customHeight="false" outlineLevel="0" collapsed="false">
      <c r="B205" s="21"/>
      <c r="C205" s="16"/>
      <c r="D205" s="16"/>
      <c r="E205" s="17"/>
      <c r="F205" s="22" t="str">
        <f aca="false">IF(D205="","",IFERROR(INDEX(Setup!$C$8:$C$37,MATCH(D205,Setup!$B$8:$B$37,0)),"Check category"))</f>
        <v/>
      </c>
      <c r="G205" s="23" t="str">
        <f aca="false">IF(B205="","",MONTH(B205))</f>
        <v/>
      </c>
      <c r="H205" s="23" t="str">
        <f aca="false">IF(B205="","",YEAR(B205))</f>
        <v/>
      </c>
    </row>
    <row r="206" customFormat="false" ht="15" hidden="false" customHeight="false" outlineLevel="0" collapsed="false">
      <c r="B206" s="21"/>
      <c r="C206" s="16"/>
      <c r="D206" s="16"/>
      <c r="E206" s="17"/>
      <c r="F206" s="22" t="str">
        <f aca="false">IF(D206="","",IFERROR(INDEX(Setup!$C$8:$C$37,MATCH(D206,Setup!$B$8:$B$37,0)),"Check category"))</f>
        <v/>
      </c>
      <c r="G206" s="23" t="str">
        <f aca="false">IF(B206="","",MONTH(B206))</f>
        <v/>
      </c>
      <c r="H206" s="23" t="str">
        <f aca="false">IF(B206="","",YEAR(B206))</f>
        <v/>
      </c>
    </row>
    <row r="207" customFormat="false" ht="15" hidden="false" customHeight="false" outlineLevel="0" collapsed="false">
      <c r="B207" s="21"/>
      <c r="C207" s="16"/>
      <c r="D207" s="16"/>
      <c r="E207" s="17"/>
      <c r="F207" s="22" t="str">
        <f aca="false">IF(D207="","",IFERROR(INDEX(Setup!$C$8:$C$37,MATCH(D207,Setup!$B$8:$B$37,0)),"Check category"))</f>
        <v/>
      </c>
      <c r="G207" s="23" t="str">
        <f aca="false">IF(B207="","",MONTH(B207))</f>
        <v/>
      </c>
      <c r="H207" s="23" t="str">
        <f aca="false">IF(B207="","",YEAR(B207))</f>
        <v/>
      </c>
    </row>
    <row r="208" customFormat="false" ht="15" hidden="false" customHeight="false" outlineLevel="0" collapsed="false">
      <c r="B208" s="21"/>
      <c r="C208" s="16"/>
      <c r="D208" s="16"/>
      <c r="E208" s="17"/>
      <c r="F208" s="22" t="str">
        <f aca="false">IF(D208="","",IFERROR(INDEX(Setup!$C$8:$C$37,MATCH(D208,Setup!$B$8:$B$37,0)),"Check category"))</f>
        <v/>
      </c>
      <c r="G208" s="23" t="str">
        <f aca="false">IF(B208="","",MONTH(B208))</f>
        <v/>
      </c>
      <c r="H208" s="23" t="str">
        <f aca="false">IF(B208="","",YEAR(B208))</f>
        <v/>
      </c>
    </row>
    <row r="209" customFormat="false" ht="15" hidden="false" customHeight="false" outlineLevel="0" collapsed="false">
      <c r="B209" s="21"/>
      <c r="C209" s="16"/>
      <c r="D209" s="16"/>
      <c r="E209" s="17"/>
      <c r="F209" s="22" t="str">
        <f aca="false">IF(D209="","",IFERROR(INDEX(Setup!$C$8:$C$37,MATCH(D209,Setup!$B$8:$B$37,0)),"Check category"))</f>
        <v/>
      </c>
      <c r="G209" s="23" t="str">
        <f aca="false">IF(B209="","",MONTH(B209))</f>
        <v/>
      </c>
      <c r="H209" s="23" t="str">
        <f aca="false">IF(B209="","",YEAR(B209))</f>
        <v/>
      </c>
    </row>
    <row r="210" customFormat="false" ht="15" hidden="false" customHeight="false" outlineLevel="0" collapsed="false">
      <c r="B210" s="21"/>
      <c r="C210" s="16"/>
      <c r="D210" s="16"/>
      <c r="E210" s="17"/>
      <c r="F210" s="22" t="str">
        <f aca="false">IF(D210="","",IFERROR(INDEX(Setup!$C$8:$C$37,MATCH(D210,Setup!$B$8:$B$37,0)),"Check category"))</f>
        <v/>
      </c>
      <c r="G210" s="23" t="str">
        <f aca="false">IF(B210="","",MONTH(B210))</f>
        <v/>
      </c>
      <c r="H210" s="23" t="str">
        <f aca="false">IF(B210="","",YEAR(B210))</f>
        <v/>
      </c>
    </row>
    <row r="211" customFormat="false" ht="15" hidden="false" customHeight="false" outlineLevel="0" collapsed="false">
      <c r="B211" s="21"/>
      <c r="C211" s="16"/>
      <c r="D211" s="16"/>
      <c r="E211" s="17"/>
      <c r="F211" s="22" t="str">
        <f aca="false">IF(D211="","",IFERROR(INDEX(Setup!$C$8:$C$37,MATCH(D211,Setup!$B$8:$B$37,0)),"Check category"))</f>
        <v/>
      </c>
      <c r="G211" s="23" t="str">
        <f aca="false">IF(B211="","",MONTH(B211))</f>
        <v/>
      </c>
      <c r="H211" s="23" t="str">
        <f aca="false">IF(B211="","",YEAR(B211))</f>
        <v/>
      </c>
    </row>
    <row r="212" customFormat="false" ht="15" hidden="false" customHeight="false" outlineLevel="0" collapsed="false">
      <c r="B212" s="21"/>
      <c r="C212" s="16"/>
      <c r="D212" s="16"/>
      <c r="E212" s="17"/>
      <c r="F212" s="22" t="str">
        <f aca="false">IF(D212="","",IFERROR(INDEX(Setup!$C$8:$C$37,MATCH(D212,Setup!$B$8:$B$37,0)),"Check category"))</f>
        <v/>
      </c>
      <c r="G212" s="23" t="str">
        <f aca="false">IF(B212="","",MONTH(B212))</f>
        <v/>
      </c>
      <c r="H212" s="23" t="str">
        <f aca="false">IF(B212="","",YEAR(B212))</f>
        <v/>
      </c>
    </row>
    <row r="213" customFormat="false" ht="15" hidden="false" customHeight="false" outlineLevel="0" collapsed="false">
      <c r="B213" s="21"/>
      <c r="C213" s="16"/>
      <c r="D213" s="16"/>
      <c r="E213" s="17"/>
      <c r="F213" s="22" t="str">
        <f aca="false">IF(D213="","",IFERROR(INDEX(Setup!$C$8:$C$37,MATCH(D213,Setup!$B$8:$B$37,0)),"Check category"))</f>
        <v/>
      </c>
      <c r="G213" s="23" t="str">
        <f aca="false">IF(B213="","",MONTH(B213))</f>
        <v/>
      </c>
      <c r="H213" s="23" t="str">
        <f aca="false">IF(B213="","",YEAR(B213))</f>
        <v/>
      </c>
    </row>
    <row r="214" customFormat="false" ht="15" hidden="false" customHeight="false" outlineLevel="0" collapsed="false">
      <c r="B214" s="21"/>
      <c r="C214" s="16"/>
      <c r="D214" s="16"/>
      <c r="E214" s="17"/>
      <c r="F214" s="22" t="str">
        <f aca="false">IF(D214="","",IFERROR(INDEX(Setup!$C$8:$C$37,MATCH(D214,Setup!$B$8:$B$37,0)),"Check category"))</f>
        <v/>
      </c>
      <c r="G214" s="23" t="str">
        <f aca="false">IF(B214="","",MONTH(B214))</f>
        <v/>
      </c>
      <c r="H214" s="23" t="str">
        <f aca="false">IF(B214="","",YEAR(B214))</f>
        <v/>
      </c>
    </row>
    <row r="215" customFormat="false" ht="15" hidden="false" customHeight="false" outlineLevel="0" collapsed="false">
      <c r="B215" s="21"/>
      <c r="C215" s="16"/>
      <c r="D215" s="16"/>
      <c r="E215" s="17"/>
      <c r="F215" s="22" t="str">
        <f aca="false">IF(D215="","",IFERROR(INDEX(Setup!$C$8:$C$37,MATCH(D215,Setup!$B$8:$B$37,0)),"Check category"))</f>
        <v/>
      </c>
      <c r="G215" s="23" t="str">
        <f aca="false">IF(B215="","",MONTH(B215))</f>
        <v/>
      </c>
      <c r="H215" s="23" t="str">
        <f aca="false">IF(B215="","",YEAR(B215))</f>
        <v/>
      </c>
    </row>
    <row r="216" customFormat="false" ht="15" hidden="false" customHeight="false" outlineLevel="0" collapsed="false">
      <c r="B216" s="21"/>
      <c r="C216" s="16"/>
      <c r="D216" s="16"/>
      <c r="E216" s="17"/>
      <c r="F216" s="22" t="str">
        <f aca="false">IF(D216="","",IFERROR(INDEX(Setup!$C$8:$C$37,MATCH(D216,Setup!$B$8:$B$37,0)),"Check category"))</f>
        <v/>
      </c>
      <c r="G216" s="23" t="str">
        <f aca="false">IF(B216="","",MONTH(B216))</f>
        <v/>
      </c>
      <c r="H216" s="23" t="str">
        <f aca="false">IF(B216="","",YEAR(B216))</f>
        <v/>
      </c>
    </row>
    <row r="217" customFormat="false" ht="15" hidden="false" customHeight="false" outlineLevel="0" collapsed="false">
      <c r="B217" s="21"/>
      <c r="C217" s="16"/>
      <c r="D217" s="16"/>
      <c r="E217" s="17"/>
      <c r="F217" s="22" t="str">
        <f aca="false">IF(D217="","",IFERROR(INDEX(Setup!$C$8:$C$37,MATCH(D217,Setup!$B$8:$B$37,0)),"Check category"))</f>
        <v/>
      </c>
      <c r="G217" s="23" t="str">
        <f aca="false">IF(B217="","",MONTH(B217))</f>
        <v/>
      </c>
      <c r="H217" s="23" t="str">
        <f aca="false">IF(B217="","",YEAR(B217))</f>
        <v/>
      </c>
    </row>
    <row r="218" customFormat="false" ht="15" hidden="false" customHeight="false" outlineLevel="0" collapsed="false">
      <c r="B218" s="21"/>
      <c r="C218" s="16"/>
      <c r="D218" s="16"/>
      <c r="E218" s="17"/>
      <c r="F218" s="22" t="str">
        <f aca="false">IF(D218="","",IFERROR(INDEX(Setup!$C$8:$C$37,MATCH(D218,Setup!$B$8:$B$37,0)),"Check category"))</f>
        <v/>
      </c>
      <c r="G218" s="23" t="str">
        <f aca="false">IF(B218="","",MONTH(B218))</f>
        <v/>
      </c>
      <c r="H218" s="23" t="str">
        <f aca="false">IF(B218="","",YEAR(B218))</f>
        <v/>
      </c>
    </row>
    <row r="219" customFormat="false" ht="15" hidden="false" customHeight="false" outlineLevel="0" collapsed="false">
      <c r="B219" s="21"/>
      <c r="C219" s="16"/>
      <c r="D219" s="16"/>
      <c r="E219" s="17"/>
      <c r="F219" s="22" t="str">
        <f aca="false">IF(D219="","",IFERROR(INDEX(Setup!$C$8:$C$37,MATCH(D219,Setup!$B$8:$B$37,0)),"Check category"))</f>
        <v/>
      </c>
      <c r="G219" s="23" t="str">
        <f aca="false">IF(B219="","",MONTH(B219))</f>
        <v/>
      </c>
      <c r="H219" s="23" t="str">
        <f aca="false">IF(B219="","",YEAR(B219))</f>
        <v/>
      </c>
    </row>
    <row r="220" customFormat="false" ht="15" hidden="false" customHeight="false" outlineLevel="0" collapsed="false">
      <c r="B220" s="21"/>
      <c r="C220" s="16"/>
      <c r="D220" s="16"/>
      <c r="E220" s="17"/>
      <c r="F220" s="22" t="str">
        <f aca="false">IF(D220="","",IFERROR(INDEX(Setup!$C$8:$C$37,MATCH(D220,Setup!$B$8:$B$37,0)),"Check category"))</f>
        <v/>
      </c>
      <c r="G220" s="23" t="str">
        <f aca="false">IF(B220="","",MONTH(B220))</f>
        <v/>
      </c>
      <c r="H220" s="23" t="str">
        <f aca="false">IF(B220="","",YEAR(B220))</f>
        <v/>
      </c>
    </row>
    <row r="221" customFormat="false" ht="15" hidden="false" customHeight="false" outlineLevel="0" collapsed="false">
      <c r="B221" s="21"/>
      <c r="C221" s="16"/>
      <c r="D221" s="16"/>
      <c r="E221" s="17"/>
      <c r="F221" s="22" t="str">
        <f aca="false">IF(D221="","",IFERROR(INDEX(Setup!$C$8:$C$37,MATCH(D221,Setup!$B$8:$B$37,0)),"Check category"))</f>
        <v/>
      </c>
      <c r="G221" s="23" t="str">
        <f aca="false">IF(B221="","",MONTH(B221))</f>
        <v/>
      </c>
      <c r="H221" s="23" t="str">
        <f aca="false">IF(B221="","",YEAR(B221))</f>
        <v/>
      </c>
    </row>
    <row r="222" customFormat="false" ht="15" hidden="false" customHeight="false" outlineLevel="0" collapsed="false">
      <c r="B222" s="21"/>
      <c r="C222" s="16"/>
      <c r="D222" s="16"/>
      <c r="E222" s="17"/>
      <c r="F222" s="22" t="str">
        <f aca="false">IF(D222="","",IFERROR(INDEX(Setup!$C$8:$C$37,MATCH(D222,Setup!$B$8:$B$37,0)),"Check category"))</f>
        <v/>
      </c>
      <c r="G222" s="23" t="str">
        <f aca="false">IF(B222="","",MONTH(B222))</f>
        <v/>
      </c>
      <c r="H222" s="23" t="str">
        <f aca="false">IF(B222="","",YEAR(B222))</f>
        <v/>
      </c>
    </row>
    <row r="223" customFormat="false" ht="15" hidden="false" customHeight="false" outlineLevel="0" collapsed="false">
      <c r="B223" s="21"/>
      <c r="C223" s="16"/>
      <c r="D223" s="16"/>
      <c r="E223" s="17"/>
      <c r="F223" s="22" t="str">
        <f aca="false">IF(D223="","",IFERROR(INDEX(Setup!$C$8:$C$37,MATCH(D223,Setup!$B$8:$B$37,0)),"Check category"))</f>
        <v/>
      </c>
      <c r="G223" s="23" t="str">
        <f aca="false">IF(B223="","",MONTH(B223))</f>
        <v/>
      </c>
      <c r="H223" s="23" t="str">
        <f aca="false">IF(B223="","",YEAR(B223))</f>
        <v/>
      </c>
    </row>
    <row r="224" customFormat="false" ht="15" hidden="false" customHeight="false" outlineLevel="0" collapsed="false">
      <c r="B224" s="21"/>
      <c r="C224" s="16"/>
      <c r="D224" s="16"/>
      <c r="E224" s="17"/>
      <c r="F224" s="22" t="str">
        <f aca="false">IF(D224="","",IFERROR(INDEX(Setup!$C$8:$C$37,MATCH(D224,Setup!$B$8:$B$37,0)),"Check category"))</f>
        <v/>
      </c>
      <c r="G224" s="23" t="str">
        <f aca="false">IF(B224="","",MONTH(B224))</f>
        <v/>
      </c>
      <c r="H224" s="23" t="str">
        <f aca="false">IF(B224="","",YEAR(B224))</f>
        <v/>
      </c>
    </row>
    <row r="225" customFormat="false" ht="15" hidden="false" customHeight="false" outlineLevel="0" collapsed="false">
      <c r="B225" s="21"/>
      <c r="C225" s="16"/>
      <c r="D225" s="16"/>
      <c r="E225" s="17"/>
      <c r="F225" s="22" t="str">
        <f aca="false">IF(D225="","",IFERROR(INDEX(Setup!$C$8:$C$37,MATCH(D225,Setup!$B$8:$B$37,0)),"Check category"))</f>
        <v/>
      </c>
      <c r="G225" s="23" t="str">
        <f aca="false">IF(B225="","",MONTH(B225))</f>
        <v/>
      </c>
      <c r="H225" s="23" t="str">
        <f aca="false">IF(B225="","",YEAR(B225))</f>
        <v/>
      </c>
    </row>
    <row r="226" customFormat="false" ht="15" hidden="false" customHeight="false" outlineLevel="0" collapsed="false">
      <c r="B226" s="21"/>
      <c r="C226" s="16"/>
      <c r="D226" s="16"/>
      <c r="E226" s="17"/>
      <c r="F226" s="22" t="str">
        <f aca="false">IF(D226="","",IFERROR(INDEX(Setup!$C$8:$C$37,MATCH(D226,Setup!$B$8:$B$37,0)),"Check category"))</f>
        <v/>
      </c>
      <c r="G226" s="23" t="str">
        <f aca="false">IF(B226="","",MONTH(B226))</f>
        <v/>
      </c>
      <c r="H226" s="23" t="str">
        <f aca="false">IF(B226="","",YEAR(B226))</f>
        <v/>
      </c>
    </row>
    <row r="227" customFormat="false" ht="15" hidden="false" customHeight="false" outlineLevel="0" collapsed="false">
      <c r="B227" s="21"/>
      <c r="C227" s="16"/>
      <c r="D227" s="16"/>
      <c r="E227" s="17"/>
      <c r="F227" s="22" t="str">
        <f aca="false">IF(D227="","",IFERROR(INDEX(Setup!$C$8:$C$37,MATCH(D227,Setup!$B$8:$B$37,0)),"Check category"))</f>
        <v/>
      </c>
      <c r="G227" s="23" t="str">
        <f aca="false">IF(B227="","",MONTH(B227))</f>
        <v/>
      </c>
      <c r="H227" s="23" t="str">
        <f aca="false">IF(B227="","",YEAR(B227))</f>
        <v/>
      </c>
    </row>
    <row r="228" customFormat="false" ht="15" hidden="false" customHeight="false" outlineLevel="0" collapsed="false">
      <c r="B228" s="21"/>
      <c r="C228" s="16"/>
      <c r="D228" s="16"/>
      <c r="E228" s="17"/>
      <c r="F228" s="22" t="str">
        <f aca="false">IF(D228="","",IFERROR(INDEX(Setup!$C$8:$C$37,MATCH(D228,Setup!$B$8:$B$37,0)),"Check category"))</f>
        <v/>
      </c>
      <c r="G228" s="23" t="str">
        <f aca="false">IF(B228="","",MONTH(B228))</f>
        <v/>
      </c>
      <c r="H228" s="23" t="str">
        <f aca="false">IF(B228="","",YEAR(B228))</f>
        <v/>
      </c>
    </row>
    <row r="229" customFormat="false" ht="15" hidden="false" customHeight="false" outlineLevel="0" collapsed="false">
      <c r="B229" s="21"/>
      <c r="C229" s="16"/>
      <c r="D229" s="16"/>
      <c r="E229" s="17"/>
      <c r="F229" s="22" t="str">
        <f aca="false">IF(D229="","",IFERROR(INDEX(Setup!$C$8:$C$37,MATCH(D229,Setup!$B$8:$B$37,0)),"Check category"))</f>
        <v/>
      </c>
      <c r="G229" s="23" t="str">
        <f aca="false">IF(B229="","",MONTH(B229))</f>
        <v/>
      </c>
      <c r="H229" s="23" t="str">
        <f aca="false">IF(B229="","",YEAR(B229))</f>
        <v/>
      </c>
    </row>
    <row r="230" customFormat="false" ht="15" hidden="false" customHeight="false" outlineLevel="0" collapsed="false">
      <c r="B230" s="21"/>
      <c r="C230" s="16"/>
      <c r="D230" s="16"/>
      <c r="E230" s="17"/>
      <c r="F230" s="22" t="str">
        <f aca="false">IF(D230="","",IFERROR(INDEX(Setup!$C$8:$C$37,MATCH(D230,Setup!$B$8:$B$37,0)),"Check category"))</f>
        <v/>
      </c>
      <c r="G230" s="23" t="str">
        <f aca="false">IF(B230="","",MONTH(B230))</f>
        <v/>
      </c>
      <c r="H230" s="23" t="str">
        <f aca="false">IF(B230="","",YEAR(B230))</f>
        <v/>
      </c>
    </row>
    <row r="231" customFormat="false" ht="15" hidden="false" customHeight="false" outlineLevel="0" collapsed="false">
      <c r="B231" s="21"/>
      <c r="C231" s="16"/>
      <c r="D231" s="16"/>
      <c r="E231" s="17"/>
      <c r="F231" s="22" t="str">
        <f aca="false">IF(D231="","",IFERROR(INDEX(Setup!$C$8:$C$37,MATCH(D231,Setup!$B$8:$B$37,0)),"Check category"))</f>
        <v/>
      </c>
      <c r="G231" s="23" t="str">
        <f aca="false">IF(B231="","",MONTH(B231))</f>
        <v/>
      </c>
      <c r="H231" s="23" t="str">
        <f aca="false">IF(B231="","",YEAR(B231))</f>
        <v/>
      </c>
    </row>
    <row r="232" customFormat="false" ht="15" hidden="false" customHeight="false" outlineLevel="0" collapsed="false">
      <c r="B232" s="21"/>
      <c r="C232" s="16"/>
      <c r="D232" s="16"/>
      <c r="E232" s="17"/>
      <c r="F232" s="22" t="str">
        <f aca="false">IF(D232="","",IFERROR(INDEX(Setup!$C$8:$C$37,MATCH(D232,Setup!$B$8:$B$37,0)),"Check category"))</f>
        <v/>
      </c>
      <c r="G232" s="23" t="str">
        <f aca="false">IF(B232="","",MONTH(B232))</f>
        <v/>
      </c>
      <c r="H232" s="23" t="str">
        <f aca="false">IF(B232="","",YEAR(B232))</f>
        <v/>
      </c>
    </row>
    <row r="233" customFormat="false" ht="15" hidden="false" customHeight="false" outlineLevel="0" collapsed="false">
      <c r="B233" s="21"/>
      <c r="C233" s="16"/>
      <c r="D233" s="16"/>
      <c r="E233" s="17"/>
      <c r="F233" s="22" t="str">
        <f aca="false">IF(D233="","",IFERROR(INDEX(Setup!$C$8:$C$37,MATCH(D233,Setup!$B$8:$B$37,0)),"Check category"))</f>
        <v/>
      </c>
      <c r="G233" s="23" t="str">
        <f aca="false">IF(B233="","",MONTH(B233))</f>
        <v/>
      </c>
      <c r="H233" s="23" t="str">
        <f aca="false">IF(B233="","",YEAR(B233))</f>
        <v/>
      </c>
    </row>
    <row r="234" customFormat="false" ht="15" hidden="false" customHeight="false" outlineLevel="0" collapsed="false">
      <c r="B234" s="21"/>
      <c r="C234" s="16"/>
      <c r="D234" s="16"/>
      <c r="E234" s="17"/>
      <c r="F234" s="22" t="str">
        <f aca="false">IF(D234="","",IFERROR(INDEX(Setup!$C$8:$C$37,MATCH(D234,Setup!$B$8:$B$37,0)),"Check category"))</f>
        <v/>
      </c>
      <c r="G234" s="23" t="str">
        <f aca="false">IF(B234="","",MONTH(B234))</f>
        <v/>
      </c>
      <c r="H234" s="23" t="str">
        <f aca="false">IF(B234="","",YEAR(B234))</f>
        <v/>
      </c>
    </row>
    <row r="235" customFormat="false" ht="15" hidden="false" customHeight="false" outlineLevel="0" collapsed="false">
      <c r="B235" s="21"/>
      <c r="C235" s="16"/>
      <c r="D235" s="16"/>
      <c r="E235" s="17"/>
      <c r="F235" s="22" t="str">
        <f aca="false">IF(D235="","",IFERROR(INDEX(Setup!$C$8:$C$37,MATCH(D235,Setup!$B$8:$B$37,0)),"Check category"))</f>
        <v/>
      </c>
      <c r="G235" s="23" t="str">
        <f aca="false">IF(B235="","",MONTH(B235))</f>
        <v/>
      </c>
      <c r="H235" s="23" t="str">
        <f aca="false">IF(B235="","",YEAR(B235))</f>
        <v/>
      </c>
    </row>
    <row r="236" customFormat="false" ht="15" hidden="false" customHeight="false" outlineLevel="0" collapsed="false">
      <c r="B236" s="21"/>
      <c r="C236" s="16"/>
      <c r="D236" s="16"/>
      <c r="E236" s="17"/>
      <c r="F236" s="22" t="str">
        <f aca="false">IF(D236="","",IFERROR(INDEX(Setup!$C$8:$C$37,MATCH(D236,Setup!$B$8:$B$37,0)),"Check category"))</f>
        <v/>
      </c>
      <c r="G236" s="23" t="str">
        <f aca="false">IF(B236="","",MONTH(B236))</f>
        <v/>
      </c>
      <c r="H236" s="23" t="str">
        <f aca="false">IF(B236="","",YEAR(B236))</f>
        <v/>
      </c>
    </row>
    <row r="237" customFormat="false" ht="15" hidden="false" customHeight="false" outlineLevel="0" collapsed="false">
      <c r="B237" s="21"/>
      <c r="C237" s="16"/>
      <c r="D237" s="16"/>
      <c r="E237" s="17"/>
      <c r="F237" s="22" t="str">
        <f aca="false">IF(D237="","",IFERROR(INDEX(Setup!$C$8:$C$37,MATCH(D237,Setup!$B$8:$B$37,0)),"Check category"))</f>
        <v/>
      </c>
      <c r="G237" s="23" t="str">
        <f aca="false">IF(B237="","",MONTH(B237))</f>
        <v/>
      </c>
      <c r="H237" s="23" t="str">
        <f aca="false">IF(B237="","",YEAR(B237))</f>
        <v/>
      </c>
    </row>
    <row r="238" customFormat="false" ht="15" hidden="false" customHeight="false" outlineLevel="0" collapsed="false">
      <c r="B238" s="21"/>
      <c r="C238" s="16"/>
      <c r="D238" s="16"/>
      <c r="E238" s="17"/>
      <c r="F238" s="22" t="str">
        <f aca="false">IF(D238="","",IFERROR(INDEX(Setup!$C$8:$C$37,MATCH(D238,Setup!$B$8:$B$37,0)),"Check category"))</f>
        <v/>
      </c>
      <c r="G238" s="23" t="str">
        <f aca="false">IF(B238="","",MONTH(B238))</f>
        <v/>
      </c>
      <c r="H238" s="23" t="str">
        <f aca="false">IF(B238="","",YEAR(B238))</f>
        <v/>
      </c>
    </row>
    <row r="239" customFormat="false" ht="15" hidden="false" customHeight="false" outlineLevel="0" collapsed="false">
      <c r="B239" s="21"/>
      <c r="C239" s="16"/>
      <c r="D239" s="16"/>
      <c r="E239" s="17"/>
      <c r="F239" s="22" t="str">
        <f aca="false">IF(D239="","",IFERROR(INDEX(Setup!$C$8:$C$37,MATCH(D239,Setup!$B$8:$B$37,0)),"Check category"))</f>
        <v/>
      </c>
      <c r="G239" s="23" t="str">
        <f aca="false">IF(B239="","",MONTH(B239))</f>
        <v/>
      </c>
      <c r="H239" s="23" t="str">
        <f aca="false">IF(B239="","",YEAR(B239))</f>
        <v/>
      </c>
    </row>
    <row r="240" customFormat="false" ht="15" hidden="false" customHeight="false" outlineLevel="0" collapsed="false">
      <c r="B240" s="21"/>
      <c r="C240" s="16"/>
      <c r="D240" s="16"/>
      <c r="E240" s="17"/>
      <c r="F240" s="22" t="str">
        <f aca="false">IF(D240="","",IFERROR(INDEX(Setup!$C$8:$C$37,MATCH(D240,Setup!$B$8:$B$37,0)),"Check category"))</f>
        <v/>
      </c>
      <c r="G240" s="23" t="str">
        <f aca="false">IF(B240="","",MONTH(B240))</f>
        <v/>
      </c>
      <c r="H240" s="23" t="str">
        <f aca="false">IF(B240="","",YEAR(B240))</f>
        <v/>
      </c>
    </row>
    <row r="241" customFormat="false" ht="15" hidden="false" customHeight="false" outlineLevel="0" collapsed="false">
      <c r="B241" s="21"/>
      <c r="C241" s="16"/>
      <c r="D241" s="16"/>
      <c r="E241" s="17"/>
      <c r="F241" s="22" t="str">
        <f aca="false">IF(D241="","",IFERROR(INDEX(Setup!$C$8:$C$37,MATCH(D241,Setup!$B$8:$B$37,0)),"Check category"))</f>
        <v/>
      </c>
      <c r="G241" s="23" t="str">
        <f aca="false">IF(B241="","",MONTH(B241))</f>
        <v/>
      </c>
      <c r="H241" s="23" t="str">
        <f aca="false">IF(B241="","",YEAR(B241))</f>
        <v/>
      </c>
    </row>
    <row r="242" customFormat="false" ht="15" hidden="false" customHeight="false" outlineLevel="0" collapsed="false">
      <c r="B242" s="21"/>
      <c r="C242" s="16"/>
      <c r="D242" s="16"/>
      <c r="E242" s="17"/>
      <c r="F242" s="22" t="str">
        <f aca="false">IF(D242="","",IFERROR(INDEX(Setup!$C$8:$C$37,MATCH(D242,Setup!$B$8:$B$37,0)),"Check category"))</f>
        <v/>
      </c>
      <c r="G242" s="23" t="str">
        <f aca="false">IF(B242="","",MONTH(B242))</f>
        <v/>
      </c>
      <c r="H242" s="23" t="str">
        <f aca="false">IF(B242="","",YEAR(B242))</f>
        <v/>
      </c>
    </row>
    <row r="243" customFormat="false" ht="15" hidden="false" customHeight="false" outlineLevel="0" collapsed="false">
      <c r="B243" s="21"/>
      <c r="C243" s="16"/>
      <c r="D243" s="16"/>
      <c r="E243" s="17"/>
      <c r="F243" s="22" t="str">
        <f aca="false">IF(D243="","",IFERROR(INDEX(Setup!$C$8:$C$37,MATCH(D243,Setup!$B$8:$B$37,0)),"Check category"))</f>
        <v/>
      </c>
      <c r="G243" s="23" t="str">
        <f aca="false">IF(B243="","",MONTH(B243))</f>
        <v/>
      </c>
      <c r="H243" s="23" t="str">
        <f aca="false">IF(B243="","",YEAR(B243))</f>
        <v/>
      </c>
    </row>
    <row r="244" customFormat="false" ht="15" hidden="false" customHeight="false" outlineLevel="0" collapsed="false">
      <c r="B244" s="21"/>
      <c r="C244" s="16"/>
      <c r="D244" s="16"/>
      <c r="E244" s="17"/>
      <c r="F244" s="22" t="str">
        <f aca="false">IF(D244="","",IFERROR(INDEX(Setup!$C$8:$C$37,MATCH(D244,Setup!$B$8:$B$37,0)),"Check category"))</f>
        <v/>
      </c>
      <c r="G244" s="23" t="str">
        <f aca="false">IF(B244="","",MONTH(B244))</f>
        <v/>
      </c>
      <c r="H244" s="23" t="str">
        <f aca="false">IF(B244="","",YEAR(B244))</f>
        <v/>
      </c>
    </row>
    <row r="245" customFormat="false" ht="15" hidden="false" customHeight="false" outlineLevel="0" collapsed="false">
      <c r="B245" s="21"/>
      <c r="C245" s="16"/>
      <c r="D245" s="16"/>
      <c r="E245" s="17"/>
      <c r="F245" s="22" t="str">
        <f aca="false">IF(D245="","",IFERROR(INDEX(Setup!$C$8:$C$37,MATCH(D245,Setup!$B$8:$B$37,0)),"Check category"))</f>
        <v/>
      </c>
      <c r="G245" s="23" t="str">
        <f aca="false">IF(B245="","",MONTH(B245))</f>
        <v/>
      </c>
      <c r="H245" s="23" t="str">
        <f aca="false">IF(B245="","",YEAR(B245))</f>
        <v/>
      </c>
    </row>
    <row r="246" customFormat="false" ht="15" hidden="false" customHeight="false" outlineLevel="0" collapsed="false">
      <c r="B246" s="21"/>
      <c r="C246" s="16"/>
      <c r="D246" s="16"/>
      <c r="E246" s="17"/>
      <c r="F246" s="22" t="str">
        <f aca="false">IF(D246="","",IFERROR(INDEX(Setup!$C$8:$C$37,MATCH(D246,Setup!$B$8:$B$37,0)),"Check category"))</f>
        <v/>
      </c>
      <c r="G246" s="23" t="str">
        <f aca="false">IF(B246="","",MONTH(B246))</f>
        <v/>
      </c>
      <c r="H246" s="23" t="str">
        <f aca="false">IF(B246="","",YEAR(B246))</f>
        <v/>
      </c>
    </row>
    <row r="247" customFormat="false" ht="15" hidden="false" customHeight="false" outlineLevel="0" collapsed="false">
      <c r="B247" s="21"/>
      <c r="C247" s="16"/>
      <c r="D247" s="16"/>
      <c r="E247" s="17"/>
      <c r="F247" s="22" t="str">
        <f aca="false">IF(D247="","",IFERROR(INDEX(Setup!$C$8:$C$37,MATCH(D247,Setup!$B$8:$B$37,0)),"Check category"))</f>
        <v/>
      </c>
      <c r="G247" s="23" t="str">
        <f aca="false">IF(B247="","",MONTH(B247))</f>
        <v/>
      </c>
      <c r="H247" s="23" t="str">
        <f aca="false">IF(B247="","",YEAR(B247))</f>
        <v/>
      </c>
    </row>
    <row r="248" customFormat="false" ht="15" hidden="false" customHeight="false" outlineLevel="0" collapsed="false">
      <c r="B248" s="21"/>
      <c r="C248" s="16"/>
      <c r="D248" s="16"/>
      <c r="E248" s="17"/>
      <c r="F248" s="22" t="str">
        <f aca="false">IF(D248="","",IFERROR(INDEX(Setup!$C$8:$C$37,MATCH(D248,Setup!$B$8:$B$37,0)),"Check category"))</f>
        <v/>
      </c>
      <c r="G248" s="23" t="str">
        <f aca="false">IF(B248="","",MONTH(B248))</f>
        <v/>
      </c>
      <c r="H248" s="23" t="str">
        <f aca="false">IF(B248="","",YEAR(B248))</f>
        <v/>
      </c>
    </row>
    <row r="249" customFormat="false" ht="15" hidden="false" customHeight="false" outlineLevel="0" collapsed="false">
      <c r="B249" s="21"/>
      <c r="C249" s="16"/>
      <c r="D249" s="16"/>
      <c r="E249" s="17"/>
      <c r="F249" s="22" t="str">
        <f aca="false">IF(D249="","",IFERROR(INDEX(Setup!$C$8:$C$37,MATCH(D249,Setup!$B$8:$B$37,0)),"Check category"))</f>
        <v/>
      </c>
      <c r="G249" s="23" t="str">
        <f aca="false">IF(B249="","",MONTH(B249))</f>
        <v/>
      </c>
      <c r="H249" s="23" t="str">
        <f aca="false">IF(B249="","",YEAR(B249))</f>
        <v/>
      </c>
    </row>
    <row r="250" customFormat="false" ht="15" hidden="false" customHeight="false" outlineLevel="0" collapsed="false">
      <c r="B250" s="21"/>
      <c r="C250" s="16"/>
      <c r="D250" s="16"/>
      <c r="E250" s="17"/>
      <c r="F250" s="22" t="str">
        <f aca="false">IF(D250="","",IFERROR(INDEX(Setup!$C$8:$C$37,MATCH(D250,Setup!$B$8:$B$37,0)),"Check category"))</f>
        <v/>
      </c>
      <c r="G250" s="23" t="str">
        <f aca="false">IF(B250="","",MONTH(B250))</f>
        <v/>
      </c>
      <c r="H250" s="23" t="str">
        <f aca="false">IF(B250="","",YEAR(B250))</f>
        <v/>
      </c>
    </row>
    <row r="251" customFormat="false" ht="15" hidden="false" customHeight="false" outlineLevel="0" collapsed="false">
      <c r="B251" s="21"/>
      <c r="C251" s="16"/>
      <c r="D251" s="16"/>
      <c r="E251" s="17"/>
      <c r="F251" s="22" t="str">
        <f aca="false">IF(D251="","",IFERROR(INDEX(Setup!$C$8:$C$37,MATCH(D251,Setup!$B$8:$B$37,0)),"Check category"))</f>
        <v/>
      </c>
      <c r="G251" s="23" t="str">
        <f aca="false">IF(B251="","",MONTH(B251))</f>
        <v/>
      </c>
      <c r="H251" s="23" t="str">
        <f aca="false">IF(B251="","",YEAR(B251))</f>
        <v/>
      </c>
    </row>
    <row r="252" customFormat="false" ht="15" hidden="false" customHeight="false" outlineLevel="0" collapsed="false">
      <c r="B252" s="21"/>
      <c r="C252" s="16"/>
      <c r="D252" s="16"/>
      <c r="E252" s="17"/>
      <c r="F252" s="22" t="str">
        <f aca="false">IF(D252="","",IFERROR(INDEX(Setup!$C$8:$C$37,MATCH(D252,Setup!$B$8:$B$37,0)),"Check category"))</f>
        <v/>
      </c>
      <c r="G252" s="23" t="str">
        <f aca="false">IF(B252="","",MONTH(B252))</f>
        <v/>
      </c>
      <c r="H252" s="23" t="str">
        <f aca="false">IF(B252="","",YEAR(B252))</f>
        <v/>
      </c>
    </row>
    <row r="253" customFormat="false" ht="15" hidden="false" customHeight="false" outlineLevel="0" collapsed="false">
      <c r="B253" s="21"/>
      <c r="C253" s="16"/>
      <c r="D253" s="16"/>
      <c r="E253" s="17"/>
      <c r="F253" s="22" t="str">
        <f aca="false">IF(D253="","",IFERROR(INDEX(Setup!$C$8:$C$37,MATCH(D253,Setup!$B$8:$B$37,0)),"Check category"))</f>
        <v/>
      </c>
      <c r="G253" s="23" t="str">
        <f aca="false">IF(B253="","",MONTH(B253))</f>
        <v/>
      </c>
      <c r="H253" s="23" t="str">
        <f aca="false">IF(B253="","",YEAR(B253))</f>
        <v/>
      </c>
    </row>
    <row r="254" customFormat="false" ht="15" hidden="false" customHeight="false" outlineLevel="0" collapsed="false">
      <c r="B254" s="21"/>
      <c r="C254" s="16"/>
      <c r="D254" s="16"/>
      <c r="E254" s="17"/>
      <c r="F254" s="22" t="str">
        <f aca="false">IF(D254="","",IFERROR(INDEX(Setup!$C$8:$C$37,MATCH(D254,Setup!$B$8:$B$37,0)),"Check category"))</f>
        <v/>
      </c>
      <c r="G254" s="23" t="str">
        <f aca="false">IF(B254="","",MONTH(B254))</f>
        <v/>
      </c>
      <c r="H254" s="23" t="str">
        <f aca="false">IF(B254="","",YEAR(B254))</f>
        <v/>
      </c>
    </row>
    <row r="255" customFormat="false" ht="15" hidden="false" customHeight="false" outlineLevel="0" collapsed="false">
      <c r="B255" s="21"/>
      <c r="C255" s="16"/>
      <c r="D255" s="16"/>
      <c r="E255" s="17"/>
      <c r="F255" s="22" t="str">
        <f aca="false">IF(D255="","",IFERROR(INDEX(Setup!$C$8:$C$37,MATCH(D255,Setup!$B$8:$B$37,0)),"Check category"))</f>
        <v/>
      </c>
      <c r="G255" s="23" t="str">
        <f aca="false">IF(B255="","",MONTH(B255))</f>
        <v/>
      </c>
      <c r="H255" s="23" t="str">
        <f aca="false">IF(B255="","",YEAR(B255))</f>
        <v/>
      </c>
    </row>
    <row r="256" customFormat="false" ht="15" hidden="false" customHeight="false" outlineLevel="0" collapsed="false">
      <c r="B256" s="21"/>
      <c r="C256" s="16"/>
      <c r="D256" s="16"/>
      <c r="E256" s="17"/>
      <c r="F256" s="22" t="str">
        <f aca="false">IF(D256="","",IFERROR(INDEX(Setup!$C$8:$C$37,MATCH(D256,Setup!$B$8:$B$37,0)),"Check category"))</f>
        <v/>
      </c>
      <c r="G256" s="23" t="str">
        <f aca="false">IF(B256="","",MONTH(B256))</f>
        <v/>
      </c>
      <c r="H256" s="23" t="str">
        <f aca="false">IF(B256="","",YEAR(B256))</f>
        <v/>
      </c>
    </row>
    <row r="257" customFormat="false" ht="15" hidden="false" customHeight="false" outlineLevel="0" collapsed="false">
      <c r="B257" s="21"/>
      <c r="C257" s="16"/>
      <c r="D257" s="16"/>
      <c r="E257" s="17"/>
      <c r="F257" s="22" t="str">
        <f aca="false">IF(D257="","",IFERROR(INDEX(Setup!$C$8:$C$37,MATCH(D257,Setup!$B$8:$B$37,0)),"Check category"))</f>
        <v/>
      </c>
      <c r="G257" s="23" t="str">
        <f aca="false">IF(B257="","",MONTH(B257))</f>
        <v/>
      </c>
      <c r="H257" s="23" t="str">
        <f aca="false">IF(B257="","",YEAR(B257))</f>
        <v/>
      </c>
    </row>
    <row r="258" customFormat="false" ht="15" hidden="false" customHeight="false" outlineLevel="0" collapsed="false">
      <c r="B258" s="21"/>
      <c r="C258" s="16"/>
      <c r="D258" s="16"/>
      <c r="E258" s="17"/>
      <c r="F258" s="22" t="str">
        <f aca="false">IF(D258="","",IFERROR(INDEX(Setup!$C$8:$C$37,MATCH(D258,Setup!$B$8:$B$37,0)),"Check category"))</f>
        <v/>
      </c>
      <c r="G258" s="23" t="str">
        <f aca="false">IF(B258="","",MONTH(B258))</f>
        <v/>
      </c>
      <c r="H258" s="23" t="str">
        <f aca="false">IF(B258="","",YEAR(B258))</f>
        <v/>
      </c>
    </row>
    <row r="259" customFormat="false" ht="15" hidden="false" customHeight="false" outlineLevel="0" collapsed="false">
      <c r="B259" s="21"/>
      <c r="C259" s="16"/>
      <c r="D259" s="16"/>
      <c r="E259" s="17"/>
      <c r="F259" s="22" t="str">
        <f aca="false">IF(D259="","",IFERROR(INDEX(Setup!$C$8:$C$37,MATCH(D259,Setup!$B$8:$B$37,0)),"Check category"))</f>
        <v/>
      </c>
      <c r="G259" s="23" t="str">
        <f aca="false">IF(B259="","",MONTH(B259))</f>
        <v/>
      </c>
      <c r="H259" s="23" t="str">
        <f aca="false">IF(B259="","",YEAR(B259))</f>
        <v/>
      </c>
    </row>
    <row r="260" customFormat="false" ht="15" hidden="false" customHeight="false" outlineLevel="0" collapsed="false">
      <c r="B260" s="21"/>
      <c r="C260" s="16"/>
      <c r="D260" s="16"/>
      <c r="E260" s="17"/>
      <c r="F260" s="22" t="str">
        <f aca="false">IF(D260="","",IFERROR(INDEX(Setup!$C$8:$C$37,MATCH(D260,Setup!$B$8:$B$37,0)),"Check category"))</f>
        <v/>
      </c>
      <c r="G260" s="23" t="str">
        <f aca="false">IF(B260="","",MONTH(B260))</f>
        <v/>
      </c>
      <c r="H260" s="23" t="str">
        <f aca="false">IF(B260="","",YEAR(B260))</f>
        <v/>
      </c>
    </row>
    <row r="261" customFormat="false" ht="15" hidden="false" customHeight="false" outlineLevel="0" collapsed="false">
      <c r="B261" s="21"/>
      <c r="C261" s="16"/>
      <c r="D261" s="16"/>
      <c r="E261" s="17"/>
      <c r="F261" s="22" t="str">
        <f aca="false">IF(D261="","",IFERROR(INDEX(Setup!$C$8:$C$37,MATCH(D261,Setup!$B$8:$B$37,0)),"Check category"))</f>
        <v/>
      </c>
      <c r="G261" s="23" t="str">
        <f aca="false">IF(B261="","",MONTH(B261))</f>
        <v/>
      </c>
      <c r="H261" s="23" t="str">
        <f aca="false">IF(B261="","",YEAR(B261))</f>
        <v/>
      </c>
    </row>
    <row r="262" customFormat="false" ht="15" hidden="false" customHeight="false" outlineLevel="0" collapsed="false">
      <c r="B262" s="21"/>
      <c r="C262" s="16"/>
      <c r="D262" s="16"/>
      <c r="E262" s="17"/>
      <c r="F262" s="22" t="str">
        <f aca="false">IF(D262="","",IFERROR(INDEX(Setup!$C$8:$C$37,MATCH(D262,Setup!$B$8:$B$37,0)),"Check category"))</f>
        <v/>
      </c>
      <c r="G262" s="23" t="str">
        <f aca="false">IF(B262="","",MONTH(B262))</f>
        <v/>
      </c>
      <c r="H262" s="23" t="str">
        <f aca="false">IF(B262="","",YEAR(B262))</f>
        <v/>
      </c>
    </row>
    <row r="263" customFormat="false" ht="15" hidden="false" customHeight="false" outlineLevel="0" collapsed="false">
      <c r="B263" s="21"/>
      <c r="C263" s="16"/>
      <c r="D263" s="16"/>
      <c r="E263" s="17"/>
      <c r="F263" s="22" t="str">
        <f aca="false">IF(D263="","",IFERROR(INDEX(Setup!$C$8:$C$37,MATCH(D263,Setup!$B$8:$B$37,0)),"Check category"))</f>
        <v/>
      </c>
      <c r="G263" s="23" t="str">
        <f aca="false">IF(B263="","",MONTH(B263))</f>
        <v/>
      </c>
      <c r="H263" s="23" t="str">
        <f aca="false">IF(B263="","",YEAR(B263))</f>
        <v/>
      </c>
    </row>
    <row r="264" customFormat="false" ht="15" hidden="false" customHeight="false" outlineLevel="0" collapsed="false">
      <c r="B264" s="21"/>
      <c r="C264" s="16"/>
      <c r="D264" s="16"/>
      <c r="E264" s="17"/>
      <c r="F264" s="22" t="str">
        <f aca="false">IF(D264="","",IFERROR(INDEX(Setup!$C$8:$C$37,MATCH(D264,Setup!$B$8:$B$37,0)),"Check category"))</f>
        <v/>
      </c>
      <c r="G264" s="23" t="str">
        <f aca="false">IF(B264="","",MONTH(B264))</f>
        <v/>
      </c>
      <c r="H264" s="23" t="str">
        <f aca="false">IF(B264="","",YEAR(B264))</f>
        <v/>
      </c>
    </row>
    <row r="265" customFormat="false" ht="15" hidden="false" customHeight="false" outlineLevel="0" collapsed="false">
      <c r="B265" s="21"/>
      <c r="C265" s="16"/>
      <c r="D265" s="16"/>
      <c r="E265" s="17"/>
      <c r="F265" s="22" t="str">
        <f aca="false">IF(D265="","",IFERROR(INDEX(Setup!$C$8:$C$37,MATCH(D265,Setup!$B$8:$B$37,0)),"Check category"))</f>
        <v/>
      </c>
      <c r="G265" s="23" t="str">
        <f aca="false">IF(B265="","",MONTH(B265))</f>
        <v/>
      </c>
      <c r="H265" s="23" t="str">
        <f aca="false">IF(B265="","",YEAR(B265))</f>
        <v/>
      </c>
    </row>
    <row r="266" customFormat="false" ht="15" hidden="false" customHeight="false" outlineLevel="0" collapsed="false">
      <c r="B266" s="21"/>
      <c r="C266" s="16"/>
      <c r="D266" s="16"/>
      <c r="E266" s="17"/>
      <c r="F266" s="22" t="str">
        <f aca="false">IF(D266="","",IFERROR(INDEX(Setup!$C$8:$C$37,MATCH(D266,Setup!$B$8:$B$37,0)),"Check category"))</f>
        <v/>
      </c>
      <c r="G266" s="23" t="str">
        <f aca="false">IF(B266="","",MONTH(B266))</f>
        <v/>
      </c>
      <c r="H266" s="23" t="str">
        <f aca="false">IF(B266="","",YEAR(B266))</f>
        <v/>
      </c>
    </row>
    <row r="267" customFormat="false" ht="15" hidden="false" customHeight="false" outlineLevel="0" collapsed="false">
      <c r="B267" s="21"/>
      <c r="C267" s="16"/>
      <c r="D267" s="16"/>
      <c r="E267" s="17"/>
      <c r="F267" s="22" t="str">
        <f aca="false">IF(D267="","",IFERROR(INDEX(Setup!$C$8:$C$37,MATCH(D267,Setup!$B$8:$B$37,0)),"Check category"))</f>
        <v/>
      </c>
      <c r="G267" s="23" t="str">
        <f aca="false">IF(B267="","",MONTH(B267))</f>
        <v/>
      </c>
      <c r="H267" s="23" t="str">
        <f aca="false">IF(B267="","",YEAR(B267))</f>
        <v/>
      </c>
    </row>
    <row r="268" customFormat="false" ht="15" hidden="false" customHeight="false" outlineLevel="0" collapsed="false">
      <c r="B268" s="21"/>
      <c r="C268" s="16"/>
      <c r="D268" s="16"/>
      <c r="E268" s="17"/>
      <c r="F268" s="22" t="str">
        <f aca="false">IF(D268="","",IFERROR(INDEX(Setup!$C$8:$C$37,MATCH(D268,Setup!$B$8:$B$37,0)),"Check category"))</f>
        <v/>
      </c>
      <c r="G268" s="23" t="str">
        <f aca="false">IF(B268="","",MONTH(B268))</f>
        <v/>
      </c>
      <c r="H268" s="23" t="str">
        <f aca="false">IF(B268="","",YEAR(B268))</f>
        <v/>
      </c>
    </row>
    <row r="269" customFormat="false" ht="15" hidden="false" customHeight="false" outlineLevel="0" collapsed="false">
      <c r="B269" s="21"/>
      <c r="C269" s="16"/>
      <c r="D269" s="16"/>
      <c r="E269" s="17"/>
      <c r="F269" s="22" t="str">
        <f aca="false">IF(D269="","",IFERROR(INDEX(Setup!$C$8:$C$37,MATCH(D269,Setup!$B$8:$B$37,0)),"Check category"))</f>
        <v/>
      </c>
      <c r="G269" s="23" t="str">
        <f aca="false">IF(B269="","",MONTH(B269))</f>
        <v/>
      </c>
      <c r="H269" s="23" t="str">
        <f aca="false">IF(B269="","",YEAR(B269))</f>
        <v/>
      </c>
    </row>
    <row r="270" customFormat="false" ht="15" hidden="false" customHeight="false" outlineLevel="0" collapsed="false">
      <c r="B270" s="21"/>
      <c r="C270" s="16"/>
      <c r="D270" s="16"/>
      <c r="E270" s="17"/>
      <c r="F270" s="22" t="str">
        <f aca="false">IF(D270="","",IFERROR(INDEX(Setup!$C$8:$C$37,MATCH(D270,Setup!$B$8:$B$37,0)),"Check category"))</f>
        <v/>
      </c>
      <c r="G270" s="23" t="str">
        <f aca="false">IF(B270="","",MONTH(B270))</f>
        <v/>
      </c>
      <c r="H270" s="23" t="str">
        <f aca="false">IF(B270="","",YEAR(B270))</f>
        <v/>
      </c>
    </row>
    <row r="271" customFormat="false" ht="15" hidden="false" customHeight="false" outlineLevel="0" collapsed="false">
      <c r="B271" s="21"/>
      <c r="C271" s="16"/>
      <c r="D271" s="16"/>
      <c r="E271" s="17"/>
      <c r="F271" s="22" t="str">
        <f aca="false">IF(D271="","",IFERROR(INDEX(Setup!$C$8:$C$37,MATCH(D271,Setup!$B$8:$B$37,0)),"Check category"))</f>
        <v/>
      </c>
      <c r="G271" s="23" t="str">
        <f aca="false">IF(B271="","",MONTH(B271))</f>
        <v/>
      </c>
      <c r="H271" s="23" t="str">
        <f aca="false">IF(B271="","",YEAR(B271))</f>
        <v/>
      </c>
    </row>
    <row r="272" customFormat="false" ht="15" hidden="false" customHeight="false" outlineLevel="0" collapsed="false">
      <c r="B272" s="21"/>
      <c r="C272" s="16"/>
      <c r="D272" s="16"/>
      <c r="E272" s="17"/>
      <c r="F272" s="22" t="str">
        <f aca="false">IF(D272="","",IFERROR(INDEX(Setup!$C$8:$C$37,MATCH(D272,Setup!$B$8:$B$37,0)),"Check category"))</f>
        <v/>
      </c>
      <c r="G272" s="23" t="str">
        <f aca="false">IF(B272="","",MONTH(B272))</f>
        <v/>
      </c>
      <c r="H272" s="23" t="str">
        <f aca="false">IF(B272="","",YEAR(B272))</f>
        <v/>
      </c>
    </row>
    <row r="273" customFormat="false" ht="15" hidden="false" customHeight="false" outlineLevel="0" collapsed="false">
      <c r="B273" s="21"/>
      <c r="C273" s="16"/>
      <c r="D273" s="16"/>
      <c r="E273" s="17"/>
      <c r="F273" s="22" t="str">
        <f aca="false">IF(D273="","",IFERROR(INDEX(Setup!$C$8:$C$37,MATCH(D273,Setup!$B$8:$B$37,0)),"Check category"))</f>
        <v/>
      </c>
      <c r="G273" s="23" t="str">
        <f aca="false">IF(B273="","",MONTH(B273))</f>
        <v/>
      </c>
      <c r="H273" s="23" t="str">
        <f aca="false">IF(B273="","",YEAR(B273))</f>
        <v/>
      </c>
    </row>
    <row r="274" customFormat="false" ht="15" hidden="false" customHeight="false" outlineLevel="0" collapsed="false">
      <c r="B274" s="21"/>
      <c r="C274" s="16"/>
      <c r="D274" s="16"/>
      <c r="E274" s="17"/>
      <c r="F274" s="22" t="str">
        <f aca="false">IF(D274="","",IFERROR(INDEX(Setup!$C$8:$C$37,MATCH(D274,Setup!$B$8:$B$37,0)),"Check category"))</f>
        <v/>
      </c>
      <c r="G274" s="23" t="str">
        <f aca="false">IF(B274="","",MONTH(B274))</f>
        <v/>
      </c>
      <c r="H274" s="23" t="str">
        <f aca="false">IF(B274="","",YEAR(B274))</f>
        <v/>
      </c>
    </row>
    <row r="275" customFormat="false" ht="15" hidden="false" customHeight="false" outlineLevel="0" collapsed="false">
      <c r="B275" s="21"/>
      <c r="C275" s="16"/>
      <c r="D275" s="16"/>
      <c r="E275" s="17"/>
      <c r="F275" s="22" t="str">
        <f aca="false">IF(D275="","",IFERROR(INDEX(Setup!$C$8:$C$37,MATCH(D275,Setup!$B$8:$B$37,0)),"Check category"))</f>
        <v/>
      </c>
      <c r="G275" s="23" t="str">
        <f aca="false">IF(B275="","",MONTH(B275))</f>
        <v/>
      </c>
      <c r="H275" s="23" t="str">
        <f aca="false">IF(B275="","",YEAR(B275))</f>
        <v/>
      </c>
    </row>
    <row r="276" customFormat="false" ht="15" hidden="false" customHeight="false" outlineLevel="0" collapsed="false">
      <c r="B276" s="21"/>
      <c r="C276" s="16"/>
      <c r="D276" s="16"/>
      <c r="E276" s="17"/>
      <c r="F276" s="22" t="str">
        <f aca="false">IF(D276="","",IFERROR(INDEX(Setup!$C$8:$C$37,MATCH(D276,Setup!$B$8:$B$37,0)),"Check category"))</f>
        <v/>
      </c>
      <c r="G276" s="23" t="str">
        <f aca="false">IF(B276="","",MONTH(B276))</f>
        <v/>
      </c>
      <c r="H276" s="23" t="str">
        <f aca="false">IF(B276="","",YEAR(B276))</f>
        <v/>
      </c>
    </row>
    <row r="277" customFormat="false" ht="15" hidden="false" customHeight="false" outlineLevel="0" collapsed="false">
      <c r="B277" s="21"/>
      <c r="C277" s="16"/>
      <c r="D277" s="16"/>
      <c r="E277" s="17"/>
      <c r="F277" s="22" t="str">
        <f aca="false">IF(D277="","",IFERROR(INDEX(Setup!$C$8:$C$37,MATCH(D277,Setup!$B$8:$B$37,0)),"Check category"))</f>
        <v/>
      </c>
      <c r="G277" s="23" t="str">
        <f aca="false">IF(B277="","",MONTH(B277))</f>
        <v/>
      </c>
      <c r="H277" s="23" t="str">
        <f aca="false">IF(B277="","",YEAR(B277))</f>
        <v/>
      </c>
    </row>
    <row r="278" customFormat="false" ht="15" hidden="false" customHeight="false" outlineLevel="0" collapsed="false">
      <c r="B278" s="21"/>
      <c r="C278" s="16"/>
      <c r="D278" s="16"/>
      <c r="E278" s="17"/>
      <c r="F278" s="22" t="str">
        <f aca="false">IF(D278="","",IFERROR(INDEX(Setup!$C$8:$C$37,MATCH(D278,Setup!$B$8:$B$37,0)),"Check category"))</f>
        <v/>
      </c>
      <c r="G278" s="23" t="str">
        <f aca="false">IF(B278="","",MONTH(B278))</f>
        <v/>
      </c>
      <c r="H278" s="23" t="str">
        <f aca="false">IF(B278="","",YEAR(B278))</f>
        <v/>
      </c>
    </row>
    <row r="279" customFormat="false" ht="15" hidden="false" customHeight="false" outlineLevel="0" collapsed="false">
      <c r="B279" s="21"/>
      <c r="C279" s="16"/>
      <c r="D279" s="16"/>
      <c r="E279" s="17"/>
      <c r="F279" s="22" t="str">
        <f aca="false">IF(D279="","",IFERROR(INDEX(Setup!$C$8:$C$37,MATCH(D279,Setup!$B$8:$B$37,0)),"Check category"))</f>
        <v/>
      </c>
      <c r="G279" s="23" t="str">
        <f aca="false">IF(B279="","",MONTH(B279))</f>
        <v/>
      </c>
      <c r="H279" s="23" t="str">
        <f aca="false">IF(B279="","",YEAR(B279))</f>
        <v/>
      </c>
    </row>
    <row r="280" customFormat="false" ht="15" hidden="false" customHeight="false" outlineLevel="0" collapsed="false">
      <c r="B280" s="21"/>
      <c r="C280" s="16"/>
      <c r="D280" s="16"/>
      <c r="E280" s="17"/>
      <c r="F280" s="22" t="str">
        <f aca="false">IF(D280="","",IFERROR(INDEX(Setup!$C$8:$C$37,MATCH(D280,Setup!$B$8:$B$37,0)),"Check category"))</f>
        <v/>
      </c>
      <c r="G280" s="23" t="str">
        <f aca="false">IF(B280="","",MONTH(B280))</f>
        <v/>
      </c>
      <c r="H280" s="23" t="str">
        <f aca="false">IF(B280="","",YEAR(B280))</f>
        <v/>
      </c>
    </row>
    <row r="281" customFormat="false" ht="15" hidden="false" customHeight="false" outlineLevel="0" collapsed="false">
      <c r="B281" s="21"/>
      <c r="C281" s="16"/>
      <c r="D281" s="16"/>
      <c r="E281" s="17"/>
      <c r="F281" s="22" t="str">
        <f aca="false">IF(D281="","",IFERROR(INDEX(Setup!$C$8:$C$37,MATCH(D281,Setup!$B$8:$B$37,0)),"Check category"))</f>
        <v/>
      </c>
      <c r="G281" s="23" t="str">
        <f aca="false">IF(B281="","",MONTH(B281))</f>
        <v/>
      </c>
      <c r="H281" s="23" t="str">
        <f aca="false">IF(B281="","",YEAR(B281))</f>
        <v/>
      </c>
    </row>
    <row r="282" customFormat="false" ht="15" hidden="false" customHeight="false" outlineLevel="0" collapsed="false">
      <c r="B282" s="21"/>
      <c r="C282" s="16"/>
      <c r="D282" s="16"/>
      <c r="E282" s="17"/>
      <c r="F282" s="22" t="str">
        <f aca="false">IF(D282="","",IFERROR(INDEX(Setup!$C$8:$C$37,MATCH(D282,Setup!$B$8:$B$37,0)),"Check category"))</f>
        <v/>
      </c>
      <c r="G282" s="23" t="str">
        <f aca="false">IF(B282="","",MONTH(B282))</f>
        <v/>
      </c>
      <c r="H282" s="23" t="str">
        <f aca="false">IF(B282="","",YEAR(B282))</f>
        <v/>
      </c>
    </row>
    <row r="283" customFormat="false" ht="15" hidden="false" customHeight="false" outlineLevel="0" collapsed="false">
      <c r="B283" s="21"/>
      <c r="C283" s="16"/>
      <c r="D283" s="16"/>
      <c r="E283" s="17"/>
      <c r="F283" s="22" t="str">
        <f aca="false">IF(D283="","",IFERROR(INDEX(Setup!$C$8:$C$37,MATCH(D283,Setup!$B$8:$B$37,0)),"Check category"))</f>
        <v/>
      </c>
      <c r="G283" s="23" t="str">
        <f aca="false">IF(B283="","",MONTH(B283))</f>
        <v/>
      </c>
      <c r="H283" s="23" t="str">
        <f aca="false">IF(B283="","",YEAR(B283))</f>
        <v/>
      </c>
    </row>
    <row r="284" customFormat="false" ht="15" hidden="false" customHeight="false" outlineLevel="0" collapsed="false">
      <c r="B284" s="21"/>
      <c r="C284" s="16"/>
      <c r="D284" s="16"/>
      <c r="E284" s="17"/>
      <c r="F284" s="22" t="str">
        <f aca="false">IF(D284="","",IFERROR(INDEX(Setup!$C$8:$C$37,MATCH(D284,Setup!$B$8:$B$37,0)),"Check category"))</f>
        <v/>
      </c>
      <c r="G284" s="23" t="str">
        <f aca="false">IF(B284="","",MONTH(B284))</f>
        <v/>
      </c>
      <c r="H284" s="23" t="str">
        <f aca="false">IF(B284="","",YEAR(B284))</f>
        <v/>
      </c>
    </row>
    <row r="285" customFormat="false" ht="15" hidden="false" customHeight="false" outlineLevel="0" collapsed="false">
      <c r="B285" s="21"/>
      <c r="C285" s="16"/>
      <c r="D285" s="16"/>
      <c r="E285" s="17"/>
      <c r="F285" s="22" t="str">
        <f aca="false">IF(D285="","",IFERROR(INDEX(Setup!$C$8:$C$37,MATCH(D285,Setup!$B$8:$B$37,0)),"Check category"))</f>
        <v/>
      </c>
      <c r="G285" s="23" t="str">
        <f aca="false">IF(B285="","",MONTH(B285))</f>
        <v/>
      </c>
      <c r="H285" s="23" t="str">
        <f aca="false">IF(B285="","",YEAR(B285))</f>
        <v/>
      </c>
    </row>
    <row r="286" customFormat="false" ht="15" hidden="false" customHeight="false" outlineLevel="0" collapsed="false">
      <c r="B286" s="21"/>
      <c r="C286" s="16"/>
      <c r="D286" s="16"/>
      <c r="E286" s="17"/>
      <c r="F286" s="22" t="str">
        <f aca="false">IF(D286="","",IFERROR(INDEX(Setup!$C$8:$C$37,MATCH(D286,Setup!$B$8:$B$37,0)),"Check category"))</f>
        <v/>
      </c>
      <c r="G286" s="23" t="str">
        <f aca="false">IF(B286="","",MONTH(B286))</f>
        <v/>
      </c>
      <c r="H286" s="23" t="str">
        <f aca="false">IF(B286="","",YEAR(B286))</f>
        <v/>
      </c>
    </row>
    <row r="287" customFormat="false" ht="15" hidden="false" customHeight="false" outlineLevel="0" collapsed="false">
      <c r="B287" s="21"/>
      <c r="C287" s="16"/>
      <c r="D287" s="16"/>
      <c r="E287" s="17"/>
      <c r="F287" s="22" t="str">
        <f aca="false">IF(D287="","",IFERROR(INDEX(Setup!$C$8:$C$37,MATCH(D287,Setup!$B$8:$B$37,0)),"Check category"))</f>
        <v/>
      </c>
      <c r="G287" s="23" t="str">
        <f aca="false">IF(B287="","",MONTH(B287))</f>
        <v/>
      </c>
      <c r="H287" s="23" t="str">
        <f aca="false">IF(B287="","",YEAR(B287))</f>
        <v/>
      </c>
    </row>
    <row r="288" customFormat="false" ht="15" hidden="false" customHeight="false" outlineLevel="0" collapsed="false">
      <c r="B288" s="21"/>
      <c r="C288" s="16"/>
      <c r="D288" s="16"/>
      <c r="E288" s="17"/>
      <c r="F288" s="22" t="str">
        <f aca="false">IF(D288="","",IFERROR(INDEX(Setup!$C$8:$C$37,MATCH(D288,Setup!$B$8:$B$37,0)),"Check category"))</f>
        <v/>
      </c>
      <c r="G288" s="23" t="str">
        <f aca="false">IF(B288="","",MONTH(B288))</f>
        <v/>
      </c>
      <c r="H288" s="23" t="str">
        <f aca="false">IF(B288="","",YEAR(B288))</f>
        <v/>
      </c>
    </row>
    <row r="289" customFormat="false" ht="15" hidden="false" customHeight="false" outlineLevel="0" collapsed="false">
      <c r="B289" s="21"/>
      <c r="C289" s="16"/>
      <c r="D289" s="16"/>
      <c r="E289" s="17"/>
      <c r="F289" s="22" t="str">
        <f aca="false">IF(D289="","",IFERROR(INDEX(Setup!$C$8:$C$37,MATCH(D289,Setup!$B$8:$B$37,0)),"Check category"))</f>
        <v/>
      </c>
      <c r="G289" s="23" t="str">
        <f aca="false">IF(B289="","",MONTH(B289))</f>
        <v/>
      </c>
      <c r="H289" s="23" t="str">
        <f aca="false">IF(B289="","",YEAR(B289))</f>
        <v/>
      </c>
    </row>
    <row r="290" customFormat="false" ht="15" hidden="false" customHeight="false" outlineLevel="0" collapsed="false">
      <c r="B290" s="21"/>
      <c r="C290" s="16"/>
      <c r="D290" s="16"/>
      <c r="E290" s="17"/>
      <c r="F290" s="22" t="str">
        <f aca="false">IF(D290="","",IFERROR(INDEX(Setup!$C$8:$C$37,MATCH(D290,Setup!$B$8:$B$37,0)),"Check category"))</f>
        <v/>
      </c>
      <c r="G290" s="23" t="str">
        <f aca="false">IF(B290="","",MONTH(B290))</f>
        <v/>
      </c>
      <c r="H290" s="23" t="str">
        <f aca="false">IF(B290="","",YEAR(B290))</f>
        <v/>
      </c>
    </row>
    <row r="291" customFormat="false" ht="15" hidden="false" customHeight="false" outlineLevel="0" collapsed="false">
      <c r="B291" s="21"/>
      <c r="C291" s="16"/>
      <c r="D291" s="16"/>
      <c r="E291" s="17"/>
      <c r="F291" s="22" t="str">
        <f aca="false">IF(D291="","",IFERROR(INDEX(Setup!$C$8:$C$37,MATCH(D291,Setup!$B$8:$B$37,0)),"Check category"))</f>
        <v/>
      </c>
      <c r="G291" s="23" t="str">
        <f aca="false">IF(B291="","",MONTH(B291))</f>
        <v/>
      </c>
      <c r="H291" s="23" t="str">
        <f aca="false">IF(B291="","",YEAR(B291))</f>
        <v/>
      </c>
    </row>
    <row r="292" customFormat="false" ht="15" hidden="false" customHeight="false" outlineLevel="0" collapsed="false">
      <c r="B292" s="21"/>
      <c r="C292" s="16"/>
      <c r="D292" s="16"/>
      <c r="E292" s="17"/>
      <c r="F292" s="22" t="str">
        <f aca="false">IF(D292="","",IFERROR(INDEX(Setup!$C$8:$C$37,MATCH(D292,Setup!$B$8:$B$37,0)),"Check category"))</f>
        <v/>
      </c>
      <c r="G292" s="23" t="str">
        <f aca="false">IF(B292="","",MONTH(B292))</f>
        <v/>
      </c>
      <c r="H292" s="23" t="str">
        <f aca="false">IF(B292="","",YEAR(B292))</f>
        <v/>
      </c>
    </row>
    <row r="293" customFormat="false" ht="15" hidden="false" customHeight="false" outlineLevel="0" collapsed="false">
      <c r="B293" s="21"/>
      <c r="C293" s="16"/>
      <c r="D293" s="16"/>
      <c r="E293" s="17"/>
      <c r="F293" s="22" t="str">
        <f aca="false">IF(D293="","",IFERROR(INDEX(Setup!$C$8:$C$37,MATCH(D293,Setup!$B$8:$B$37,0)),"Check category"))</f>
        <v/>
      </c>
      <c r="G293" s="23" t="str">
        <f aca="false">IF(B293="","",MONTH(B293))</f>
        <v/>
      </c>
      <c r="H293" s="23" t="str">
        <f aca="false">IF(B293="","",YEAR(B293))</f>
        <v/>
      </c>
    </row>
    <row r="294" customFormat="false" ht="15" hidden="false" customHeight="false" outlineLevel="0" collapsed="false">
      <c r="B294" s="21"/>
      <c r="C294" s="16"/>
      <c r="D294" s="16"/>
      <c r="E294" s="17"/>
      <c r="F294" s="22" t="str">
        <f aca="false">IF(D294="","",IFERROR(INDEX(Setup!$C$8:$C$37,MATCH(D294,Setup!$B$8:$B$37,0)),"Check category"))</f>
        <v/>
      </c>
      <c r="G294" s="23" t="str">
        <f aca="false">IF(B294="","",MONTH(B294))</f>
        <v/>
      </c>
      <c r="H294" s="23" t="str">
        <f aca="false">IF(B294="","",YEAR(B294))</f>
        <v/>
      </c>
    </row>
    <row r="295" customFormat="false" ht="15" hidden="false" customHeight="false" outlineLevel="0" collapsed="false">
      <c r="B295" s="21"/>
      <c r="C295" s="16"/>
      <c r="D295" s="16"/>
      <c r="E295" s="17"/>
      <c r="F295" s="22" t="str">
        <f aca="false">IF(D295="","",IFERROR(INDEX(Setup!$C$8:$C$37,MATCH(D295,Setup!$B$8:$B$37,0)),"Check category"))</f>
        <v/>
      </c>
      <c r="G295" s="23" t="str">
        <f aca="false">IF(B295="","",MONTH(B295))</f>
        <v/>
      </c>
      <c r="H295" s="23" t="str">
        <f aca="false">IF(B295="","",YEAR(B295))</f>
        <v/>
      </c>
    </row>
    <row r="296" customFormat="false" ht="15" hidden="false" customHeight="false" outlineLevel="0" collapsed="false">
      <c r="B296" s="21"/>
      <c r="C296" s="16"/>
      <c r="D296" s="16"/>
      <c r="E296" s="17"/>
      <c r="F296" s="22" t="str">
        <f aca="false">IF(D296="","",IFERROR(INDEX(Setup!$C$8:$C$37,MATCH(D296,Setup!$B$8:$B$37,0)),"Check category"))</f>
        <v/>
      </c>
      <c r="G296" s="23" t="str">
        <f aca="false">IF(B296="","",MONTH(B296))</f>
        <v/>
      </c>
      <c r="H296" s="23" t="str">
        <f aca="false">IF(B296="","",YEAR(B296))</f>
        <v/>
      </c>
    </row>
    <row r="297" customFormat="false" ht="15" hidden="false" customHeight="false" outlineLevel="0" collapsed="false">
      <c r="B297" s="21"/>
      <c r="C297" s="16"/>
      <c r="D297" s="16"/>
      <c r="E297" s="17"/>
      <c r="F297" s="22" t="str">
        <f aca="false">IF(D297="","",IFERROR(INDEX(Setup!$C$8:$C$37,MATCH(D297,Setup!$B$8:$B$37,0)),"Check category"))</f>
        <v/>
      </c>
      <c r="G297" s="23" t="str">
        <f aca="false">IF(B297="","",MONTH(B297))</f>
        <v/>
      </c>
      <c r="H297" s="23" t="str">
        <f aca="false">IF(B297="","",YEAR(B297))</f>
        <v/>
      </c>
    </row>
    <row r="298" customFormat="false" ht="15" hidden="false" customHeight="false" outlineLevel="0" collapsed="false">
      <c r="B298" s="21"/>
      <c r="C298" s="16"/>
      <c r="D298" s="16"/>
      <c r="E298" s="17"/>
      <c r="F298" s="22" t="str">
        <f aca="false">IF(D298="","",IFERROR(INDEX(Setup!$C$8:$C$37,MATCH(D298,Setup!$B$8:$B$37,0)),"Check category"))</f>
        <v/>
      </c>
      <c r="G298" s="23" t="str">
        <f aca="false">IF(B298="","",MONTH(B298))</f>
        <v/>
      </c>
      <c r="H298" s="23" t="str">
        <f aca="false">IF(B298="","",YEAR(B298))</f>
        <v/>
      </c>
    </row>
    <row r="299" customFormat="false" ht="15" hidden="false" customHeight="false" outlineLevel="0" collapsed="false">
      <c r="B299" s="21"/>
      <c r="C299" s="16"/>
      <c r="D299" s="16"/>
      <c r="E299" s="17"/>
      <c r="F299" s="22" t="str">
        <f aca="false">IF(D299="","",IFERROR(INDEX(Setup!$C$8:$C$37,MATCH(D299,Setup!$B$8:$B$37,0)),"Check category"))</f>
        <v/>
      </c>
      <c r="G299" s="23" t="str">
        <f aca="false">IF(B299="","",MONTH(B299))</f>
        <v/>
      </c>
      <c r="H299" s="23" t="str">
        <f aca="false">IF(B299="","",YEAR(B299))</f>
        <v/>
      </c>
    </row>
    <row r="300" customFormat="false" ht="15" hidden="false" customHeight="false" outlineLevel="0" collapsed="false">
      <c r="B300" s="21"/>
      <c r="C300" s="16"/>
      <c r="D300" s="16"/>
      <c r="E300" s="17"/>
      <c r="F300" s="22" t="str">
        <f aca="false">IF(D300="","",IFERROR(INDEX(Setup!$C$8:$C$37,MATCH(D300,Setup!$B$8:$B$37,0)),"Check category"))</f>
        <v/>
      </c>
      <c r="G300" s="23" t="str">
        <f aca="false">IF(B300="","",MONTH(B300))</f>
        <v/>
      </c>
      <c r="H300" s="23" t="str">
        <f aca="false">IF(B300="","",YEAR(B300))</f>
        <v/>
      </c>
    </row>
    <row r="301" customFormat="false" ht="15" hidden="false" customHeight="false" outlineLevel="0" collapsed="false">
      <c r="B301" s="21"/>
      <c r="C301" s="16"/>
      <c r="D301" s="16"/>
      <c r="E301" s="17"/>
      <c r="F301" s="22" t="str">
        <f aca="false">IF(D301="","",IFERROR(INDEX(Setup!$C$8:$C$37,MATCH(D301,Setup!$B$8:$B$37,0)),"Check category"))</f>
        <v/>
      </c>
      <c r="G301" s="23" t="str">
        <f aca="false">IF(B301="","",MONTH(B301))</f>
        <v/>
      </c>
      <c r="H301" s="23" t="str">
        <f aca="false">IF(B301="","",YEAR(B301))</f>
        <v/>
      </c>
    </row>
    <row r="302" customFormat="false" ht="15" hidden="false" customHeight="false" outlineLevel="0" collapsed="false">
      <c r="B302" s="21"/>
      <c r="C302" s="16"/>
      <c r="D302" s="16"/>
      <c r="E302" s="17"/>
      <c r="F302" s="22" t="str">
        <f aca="false">IF(D302="","",IFERROR(INDEX(Setup!$C$8:$C$37,MATCH(D302,Setup!$B$8:$B$37,0)),"Check category"))</f>
        <v/>
      </c>
      <c r="G302" s="23" t="str">
        <f aca="false">IF(B302="","",MONTH(B302))</f>
        <v/>
      </c>
      <c r="H302" s="23" t="str">
        <f aca="false">IF(B302="","",YEAR(B302))</f>
        <v/>
      </c>
    </row>
    <row r="303" customFormat="false" ht="15" hidden="false" customHeight="false" outlineLevel="0" collapsed="false">
      <c r="B303" s="21"/>
      <c r="C303" s="16"/>
      <c r="D303" s="16"/>
      <c r="E303" s="17"/>
      <c r="F303" s="22" t="str">
        <f aca="false">IF(D303="","",IFERROR(INDEX(Setup!$C$8:$C$37,MATCH(D303,Setup!$B$8:$B$37,0)),"Check category"))</f>
        <v/>
      </c>
      <c r="G303" s="23" t="str">
        <f aca="false">IF(B303="","",MONTH(B303))</f>
        <v/>
      </c>
      <c r="H303" s="23" t="str">
        <f aca="false">IF(B303="","",YEAR(B303))</f>
        <v/>
      </c>
    </row>
    <row r="304" customFormat="false" ht="15" hidden="false" customHeight="false" outlineLevel="0" collapsed="false">
      <c r="B304" s="21"/>
      <c r="C304" s="16"/>
      <c r="D304" s="16"/>
      <c r="E304" s="17"/>
      <c r="F304" s="22" t="str">
        <f aca="false">IF(D304="","",IFERROR(INDEX(Setup!$C$8:$C$37,MATCH(D304,Setup!$B$8:$B$37,0)),"Check category"))</f>
        <v/>
      </c>
      <c r="G304" s="23" t="str">
        <f aca="false">IF(B304="","",MONTH(B304))</f>
        <v/>
      </c>
      <c r="H304" s="23" t="str">
        <f aca="false">IF(B304="","",YEAR(B304))</f>
        <v/>
      </c>
    </row>
    <row r="305" customFormat="false" ht="15" hidden="false" customHeight="false" outlineLevel="0" collapsed="false">
      <c r="B305" s="21"/>
      <c r="C305" s="16"/>
      <c r="D305" s="16"/>
      <c r="E305" s="17"/>
      <c r="F305" s="22" t="str">
        <f aca="false">IF(D305="","",IFERROR(INDEX(Setup!$C$8:$C$37,MATCH(D305,Setup!$B$8:$B$37,0)),"Check category"))</f>
        <v/>
      </c>
      <c r="G305" s="23" t="str">
        <f aca="false">IF(B305="","",MONTH(B305))</f>
        <v/>
      </c>
      <c r="H305" s="23" t="str">
        <f aca="false">IF(B305="","",YEAR(B305))</f>
        <v/>
      </c>
    </row>
    <row r="306" customFormat="false" ht="15" hidden="false" customHeight="false" outlineLevel="0" collapsed="false">
      <c r="B306" s="21"/>
      <c r="C306" s="16"/>
      <c r="D306" s="16"/>
      <c r="E306" s="17"/>
      <c r="F306" s="22" t="str">
        <f aca="false">IF(D306="","",IFERROR(INDEX(Setup!$C$8:$C$37,MATCH(D306,Setup!$B$8:$B$37,0)),"Check category"))</f>
        <v/>
      </c>
      <c r="G306" s="23" t="str">
        <f aca="false">IF(B306="","",MONTH(B306))</f>
        <v/>
      </c>
      <c r="H306" s="23" t="str">
        <f aca="false">IF(B306="","",YEAR(B306))</f>
        <v/>
      </c>
    </row>
    <row r="307" customFormat="false" ht="15" hidden="false" customHeight="false" outlineLevel="0" collapsed="false">
      <c r="B307" s="21"/>
      <c r="C307" s="16"/>
      <c r="D307" s="16"/>
      <c r="E307" s="17"/>
      <c r="F307" s="22" t="str">
        <f aca="false">IF(D307="","",IFERROR(INDEX(Setup!$C$8:$C$37,MATCH(D307,Setup!$B$8:$B$37,0)),"Check category"))</f>
        <v/>
      </c>
      <c r="G307" s="23" t="str">
        <f aca="false">IF(B307="","",MONTH(B307))</f>
        <v/>
      </c>
      <c r="H307" s="23" t="str">
        <f aca="false">IF(B307="","",YEAR(B307))</f>
        <v/>
      </c>
    </row>
    <row r="308" customFormat="false" ht="15" hidden="false" customHeight="false" outlineLevel="0" collapsed="false">
      <c r="B308" s="21"/>
      <c r="C308" s="16"/>
      <c r="D308" s="16"/>
      <c r="E308" s="17"/>
      <c r="F308" s="22" t="str">
        <f aca="false">IF(D308="","",IFERROR(INDEX(Setup!$C$8:$C$37,MATCH(D308,Setup!$B$8:$B$37,0)),"Check category"))</f>
        <v/>
      </c>
      <c r="G308" s="23" t="str">
        <f aca="false">IF(B308="","",MONTH(B308))</f>
        <v/>
      </c>
      <c r="H308" s="23" t="str">
        <f aca="false">IF(B308="","",YEAR(B308))</f>
        <v/>
      </c>
    </row>
    <row r="309" customFormat="false" ht="15" hidden="false" customHeight="false" outlineLevel="0" collapsed="false">
      <c r="B309" s="21"/>
      <c r="C309" s="16"/>
      <c r="D309" s="16"/>
      <c r="E309" s="17"/>
      <c r="F309" s="22" t="str">
        <f aca="false">IF(D309="","",IFERROR(INDEX(Setup!$C$8:$C$37,MATCH(D309,Setup!$B$8:$B$37,0)),"Check category"))</f>
        <v/>
      </c>
      <c r="G309" s="23" t="str">
        <f aca="false">IF(B309="","",MONTH(B309))</f>
        <v/>
      </c>
      <c r="H309" s="23" t="str">
        <f aca="false">IF(B309="","",YEAR(B309))</f>
        <v/>
      </c>
    </row>
    <row r="310" customFormat="false" ht="15" hidden="false" customHeight="false" outlineLevel="0" collapsed="false">
      <c r="B310" s="21"/>
      <c r="C310" s="16"/>
      <c r="D310" s="16"/>
      <c r="E310" s="17"/>
      <c r="F310" s="22" t="str">
        <f aca="false">IF(D310="","",IFERROR(INDEX(Setup!$C$8:$C$37,MATCH(D310,Setup!$B$8:$B$37,0)),"Check category"))</f>
        <v/>
      </c>
      <c r="G310" s="23" t="str">
        <f aca="false">IF(B310="","",MONTH(B310))</f>
        <v/>
      </c>
      <c r="H310" s="23" t="str">
        <f aca="false">IF(B310="","",YEAR(B310))</f>
        <v/>
      </c>
    </row>
    <row r="311" customFormat="false" ht="15" hidden="false" customHeight="false" outlineLevel="0" collapsed="false">
      <c r="B311" s="21"/>
      <c r="C311" s="16"/>
      <c r="D311" s="16"/>
      <c r="E311" s="17"/>
      <c r="F311" s="22" t="str">
        <f aca="false">IF(D311="","",IFERROR(INDEX(Setup!$C$8:$C$37,MATCH(D311,Setup!$B$8:$B$37,0)),"Check category"))</f>
        <v/>
      </c>
      <c r="G311" s="23" t="str">
        <f aca="false">IF(B311="","",MONTH(B311))</f>
        <v/>
      </c>
      <c r="H311" s="23" t="str">
        <f aca="false">IF(B311="","",YEAR(B311))</f>
        <v/>
      </c>
    </row>
    <row r="312" customFormat="false" ht="15" hidden="false" customHeight="false" outlineLevel="0" collapsed="false">
      <c r="B312" s="21"/>
      <c r="C312" s="16"/>
      <c r="D312" s="16"/>
      <c r="E312" s="17"/>
      <c r="F312" s="22" t="str">
        <f aca="false">IF(D312="","",IFERROR(INDEX(Setup!$C$8:$C$37,MATCH(D312,Setup!$B$8:$B$37,0)),"Check category"))</f>
        <v/>
      </c>
      <c r="G312" s="23" t="str">
        <f aca="false">IF(B312="","",MONTH(B312))</f>
        <v/>
      </c>
      <c r="H312" s="23" t="str">
        <f aca="false">IF(B312="","",YEAR(B312))</f>
        <v/>
      </c>
    </row>
    <row r="313" customFormat="false" ht="15" hidden="false" customHeight="false" outlineLevel="0" collapsed="false">
      <c r="B313" s="21"/>
      <c r="C313" s="16"/>
      <c r="D313" s="16"/>
      <c r="E313" s="17"/>
      <c r="F313" s="22" t="str">
        <f aca="false">IF(D313="","",IFERROR(INDEX(Setup!$C$8:$C$37,MATCH(D313,Setup!$B$8:$B$37,0)),"Check category"))</f>
        <v/>
      </c>
      <c r="G313" s="23" t="str">
        <f aca="false">IF(B313="","",MONTH(B313))</f>
        <v/>
      </c>
      <c r="H313" s="23" t="str">
        <f aca="false">IF(B313="","",YEAR(B313))</f>
        <v/>
      </c>
    </row>
    <row r="314" customFormat="false" ht="15" hidden="false" customHeight="false" outlineLevel="0" collapsed="false">
      <c r="B314" s="21"/>
      <c r="C314" s="16"/>
      <c r="D314" s="16"/>
      <c r="E314" s="17"/>
      <c r="F314" s="22" t="str">
        <f aca="false">IF(D314="","",IFERROR(INDEX(Setup!$C$8:$C$37,MATCH(D314,Setup!$B$8:$B$37,0)),"Check category"))</f>
        <v/>
      </c>
      <c r="G314" s="23" t="str">
        <f aca="false">IF(B314="","",MONTH(B314))</f>
        <v/>
      </c>
      <c r="H314" s="23" t="str">
        <f aca="false">IF(B314="","",YEAR(B314))</f>
        <v/>
      </c>
    </row>
    <row r="315" customFormat="false" ht="15" hidden="false" customHeight="false" outlineLevel="0" collapsed="false">
      <c r="B315" s="21"/>
      <c r="C315" s="16"/>
      <c r="D315" s="16"/>
      <c r="E315" s="17"/>
      <c r="F315" s="22" t="str">
        <f aca="false">IF(D315="","",IFERROR(INDEX(Setup!$C$8:$C$37,MATCH(D315,Setup!$B$8:$B$37,0)),"Check category"))</f>
        <v/>
      </c>
      <c r="G315" s="23" t="str">
        <f aca="false">IF(B315="","",MONTH(B315))</f>
        <v/>
      </c>
      <c r="H315" s="23" t="str">
        <f aca="false">IF(B315="","",YEAR(B315))</f>
        <v/>
      </c>
    </row>
    <row r="316" customFormat="false" ht="15" hidden="false" customHeight="false" outlineLevel="0" collapsed="false">
      <c r="B316" s="21"/>
      <c r="C316" s="16"/>
      <c r="D316" s="16"/>
      <c r="E316" s="17"/>
      <c r="F316" s="22" t="str">
        <f aca="false">IF(D316="","",IFERROR(INDEX(Setup!$C$8:$C$37,MATCH(D316,Setup!$B$8:$B$37,0)),"Check category"))</f>
        <v/>
      </c>
      <c r="G316" s="23" t="str">
        <f aca="false">IF(B316="","",MONTH(B316))</f>
        <v/>
      </c>
      <c r="H316" s="23" t="str">
        <f aca="false">IF(B316="","",YEAR(B316))</f>
        <v/>
      </c>
    </row>
    <row r="317" customFormat="false" ht="15" hidden="false" customHeight="false" outlineLevel="0" collapsed="false">
      <c r="B317" s="21"/>
      <c r="C317" s="16"/>
      <c r="D317" s="16"/>
      <c r="E317" s="17"/>
      <c r="F317" s="22" t="str">
        <f aca="false">IF(D317="","",IFERROR(INDEX(Setup!$C$8:$C$37,MATCH(D317,Setup!$B$8:$B$37,0)),"Check category"))</f>
        <v/>
      </c>
      <c r="G317" s="23" t="str">
        <f aca="false">IF(B317="","",MONTH(B317))</f>
        <v/>
      </c>
      <c r="H317" s="23" t="str">
        <f aca="false">IF(B317="","",YEAR(B317))</f>
        <v/>
      </c>
    </row>
    <row r="318" customFormat="false" ht="15" hidden="false" customHeight="false" outlineLevel="0" collapsed="false">
      <c r="B318" s="21"/>
      <c r="C318" s="16"/>
      <c r="D318" s="16"/>
      <c r="E318" s="17"/>
      <c r="F318" s="22" t="str">
        <f aca="false">IF(D318="","",IFERROR(INDEX(Setup!$C$8:$C$37,MATCH(D318,Setup!$B$8:$B$37,0)),"Check category"))</f>
        <v/>
      </c>
      <c r="G318" s="23" t="str">
        <f aca="false">IF(B318="","",MONTH(B318))</f>
        <v/>
      </c>
      <c r="H318" s="23" t="str">
        <f aca="false">IF(B318="","",YEAR(B318))</f>
        <v/>
      </c>
    </row>
    <row r="319" customFormat="false" ht="15" hidden="false" customHeight="false" outlineLevel="0" collapsed="false">
      <c r="B319" s="21"/>
      <c r="C319" s="16"/>
      <c r="D319" s="16"/>
      <c r="E319" s="17"/>
      <c r="F319" s="22" t="str">
        <f aca="false">IF(D319="","",IFERROR(INDEX(Setup!$C$8:$C$37,MATCH(D319,Setup!$B$8:$B$37,0)),"Check category"))</f>
        <v/>
      </c>
      <c r="G319" s="23" t="str">
        <f aca="false">IF(B319="","",MONTH(B319))</f>
        <v/>
      </c>
      <c r="H319" s="23" t="str">
        <f aca="false">IF(B319="","",YEAR(B319))</f>
        <v/>
      </c>
    </row>
    <row r="320" customFormat="false" ht="15" hidden="false" customHeight="false" outlineLevel="0" collapsed="false">
      <c r="B320" s="21"/>
      <c r="C320" s="16"/>
      <c r="D320" s="16"/>
      <c r="E320" s="17"/>
      <c r="F320" s="22" t="str">
        <f aca="false">IF(D320="","",IFERROR(INDEX(Setup!$C$8:$C$37,MATCH(D320,Setup!$B$8:$B$37,0)),"Check category"))</f>
        <v/>
      </c>
      <c r="G320" s="23" t="str">
        <f aca="false">IF(B320="","",MONTH(B320))</f>
        <v/>
      </c>
      <c r="H320" s="23" t="str">
        <f aca="false">IF(B320="","",YEAR(B320))</f>
        <v/>
      </c>
    </row>
    <row r="321" customFormat="false" ht="15" hidden="false" customHeight="false" outlineLevel="0" collapsed="false">
      <c r="B321" s="21"/>
      <c r="C321" s="16"/>
      <c r="D321" s="16"/>
      <c r="E321" s="17"/>
      <c r="F321" s="22" t="str">
        <f aca="false">IF(D321="","",IFERROR(INDEX(Setup!$C$8:$C$37,MATCH(D321,Setup!$B$8:$B$37,0)),"Check category"))</f>
        <v/>
      </c>
      <c r="G321" s="23" t="str">
        <f aca="false">IF(B321="","",MONTH(B321))</f>
        <v/>
      </c>
      <c r="H321" s="23" t="str">
        <f aca="false">IF(B321="","",YEAR(B321))</f>
        <v/>
      </c>
    </row>
    <row r="322" customFormat="false" ht="15" hidden="false" customHeight="false" outlineLevel="0" collapsed="false">
      <c r="B322" s="21"/>
      <c r="C322" s="16"/>
      <c r="D322" s="16"/>
      <c r="E322" s="17"/>
      <c r="F322" s="22" t="str">
        <f aca="false">IF(D322="","",IFERROR(INDEX(Setup!$C$8:$C$37,MATCH(D322,Setup!$B$8:$B$37,0)),"Check category"))</f>
        <v/>
      </c>
      <c r="G322" s="23" t="str">
        <f aca="false">IF(B322="","",MONTH(B322))</f>
        <v/>
      </c>
      <c r="H322" s="23" t="str">
        <f aca="false">IF(B322="","",YEAR(B322))</f>
        <v/>
      </c>
    </row>
    <row r="323" customFormat="false" ht="15" hidden="false" customHeight="false" outlineLevel="0" collapsed="false">
      <c r="B323" s="21"/>
      <c r="C323" s="16"/>
      <c r="D323" s="16"/>
      <c r="E323" s="17"/>
      <c r="F323" s="22" t="str">
        <f aca="false">IF(D323="","",IFERROR(INDEX(Setup!$C$8:$C$37,MATCH(D323,Setup!$B$8:$B$37,0)),"Check category"))</f>
        <v/>
      </c>
      <c r="G323" s="23" t="str">
        <f aca="false">IF(B323="","",MONTH(B323))</f>
        <v/>
      </c>
      <c r="H323" s="23" t="str">
        <f aca="false">IF(B323="","",YEAR(B323))</f>
        <v/>
      </c>
    </row>
    <row r="324" customFormat="false" ht="15" hidden="false" customHeight="false" outlineLevel="0" collapsed="false">
      <c r="B324" s="21"/>
      <c r="C324" s="16"/>
      <c r="D324" s="16"/>
      <c r="E324" s="17"/>
      <c r="F324" s="22" t="str">
        <f aca="false">IF(D324="","",IFERROR(INDEX(Setup!$C$8:$C$37,MATCH(D324,Setup!$B$8:$B$37,0)),"Check category"))</f>
        <v/>
      </c>
      <c r="G324" s="23" t="str">
        <f aca="false">IF(B324="","",MONTH(B324))</f>
        <v/>
      </c>
      <c r="H324" s="23" t="str">
        <f aca="false">IF(B324="","",YEAR(B324))</f>
        <v/>
      </c>
    </row>
    <row r="325" customFormat="false" ht="15" hidden="false" customHeight="false" outlineLevel="0" collapsed="false">
      <c r="B325" s="21"/>
      <c r="C325" s="16"/>
      <c r="D325" s="16"/>
      <c r="E325" s="17"/>
      <c r="F325" s="22" t="str">
        <f aca="false">IF(D325="","",IFERROR(INDEX(Setup!$C$8:$C$37,MATCH(D325,Setup!$B$8:$B$37,0)),"Check category"))</f>
        <v/>
      </c>
      <c r="G325" s="23" t="str">
        <f aca="false">IF(B325="","",MONTH(B325))</f>
        <v/>
      </c>
      <c r="H325" s="23" t="str">
        <f aca="false">IF(B325="","",YEAR(B325))</f>
        <v/>
      </c>
    </row>
    <row r="326" customFormat="false" ht="15" hidden="false" customHeight="false" outlineLevel="0" collapsed="false">
      <c r="B326" s="21"/>
      <c r="C326" s="16"/>
      <c r="D326" s="16"/>
      <c r="E326" s="17"/>
      <c r="F326" s="22" t="str">
        <f aca="false">IF(D326="","",IFERROR(INDEX(Setup!$C$8:$C$37,MATCH(D326,Setup!$B$8:$B$37,0)),"Check category"))</f>
        <v/>
      </c>
      <c r="G326" s="23" t="str">
        <f aca="false">IF(B326="","",MONTH(B326))</f>
        <v/>
      </c>
      <c r="H326" s="23" t="str">
        <f aca="false">IF(B326="","",YEAR(B326))</f>
        <v/>
      </c>
    </row>
    <row r="327" customFormat="false" ht="15" hidden="false" customHeight="false" outlineLevel="0" collapsed="false">
      <c r="B327" s="21"/>
      <c r="C327" s="16"/>
      <c r="D327" s="16"/>
      <c r="E327" s="17"/>
      <c r="F327" s="22" t="str">
        <f aca="false">IF(D327="","",IFERROR(INDEX(Setup!$C$8:$C$37,MATCH(D327,Setup!$B$8:$B$37,0)),"Check category"))</f>
        <v/>
      </c>
      <c r="G327" s="23" t="str">
        <f aca="false">IF(B327="","",MONTH(B327))</f>
        <v/>
      </c>
      <c r="H327" s="23" t="str">
        <f aca="false">IF(B327="","",YEAR(B327))</f>
        <v/>
      </c>
    </row>
    <row r="328" customFormat="false" ht="15" hidden="false" customHeight="false" outlineLevel="0" collapsed="false">
      <c r="B328" s="21"/>
      <c r="C328" s="16"/>
      <c r="D328" s="16"/>
      <c r="E328" s="17"/>
      <c r="F328" s="22" t="str">
        <f aca="false">IF(D328="","",IFERROR(INDEX(Setup!$C$8:$C$37,MATCH(D328,Setup!$B$8:$B$37,0)),"Check category"))</f>
        <v/>
      </c>
      <c r="G328" s="23" t="str">
        <f aca="false">IF(B328="","",MONTH(B328))</f>
        <v/>
      </c>
      <c r="H328" s="23" t="str">
        <f aca="false">IF(B328="","",YEAR(B328))</f>
        <v/>
      </c>
    </row>
    <row r="329" customFormat="false" ht="15" hidden="false" customHeight="false" outlineLevel="0" collapsed="false">
      <c r="B329" s="21"/>
      <c r="C329" s="16"/>
      <c r="D329" s="16"/>
      <c r="E329" s="17"/>
      <c r="F329" s="22" t="str">
        <f aca="false">IF(D329="","",IFERROR(INDEX(Setup!$C$8:$C$37,MATCH(D329,Setup!$B$8:$B$37,0)),"Check category"))</f>
        <v/>
      </c>
      <c r="G329" s="23" t="str">
        <f aca="false">IF(B329="","",MONTH(B329))</f>
        <v/>
      </c>
      <c r="H329" s="23" t="str">
        <f aca="false">IF(B329="","",YEAR(B329))</f>
        <v/>
      </c>
    </row>
    <row r="330" customFormat="false" ht="15" hidden="false" customHeight="false" outlineLevel="0" collapsed="false">
      <c r="B330" s="21"/>
      <c r="C330" s="16"/>
      <c r="D330" s="16"/>
      <c r="E330" s="17"/>
      <c r="F330" s="22" t="str">
        <f aca="false">IF(D330="","",IFERROR(INDEX(Setup!$C$8:$C$37,MATCH(D330,Setup!$B$8:$B$37,0)),"Check category"))</f>
        <v/>
      </c>
      <c r="G330" s="23" t="str">
        <f aca="false">IF(B330="","",MONTH(B330))</f>
        <v/>
      </c>
      <c r="H330" s="23" t="str">
        <f aca="false">IF(B330="","",YEAR(B330))</f>
        <v/>
      </c>
    </row>
    <row r="331" customFormat="false" ht="15" hidden="false" customHeight="false" outlineLevel="0" collapsed="false">
      <c r="B331" s="21"/>
      <c r="C331" s="16"/>
      <c r="D331" s="16"/>
      <c r="E331" s="17"/>
      <c r="F331" s="22" t="str">
        <f aca="false">IF(D331="","",IFERROR(INDEX(Setup!$C$8:$C$37,MATCH(D331,Setup!$B$8:$B$37,0)),"Check category"))</f>
        <v/>
      </c>
      <c r="G331" s="23" t="str">
        <f aca="false">IF(B331="","",MONTH(B331))</f>
        <v/>
      </c>
      <c r="H331" s="23" t="str">
        <f aca="false">IF(B331="","",YEAR(B331))</f>
        <v/>
      </c>
    </row>
    <row r="332" customFormat="false" ht="15" hidden="false" customHeight="false" outlineLevel="0" collapsed="false">
      <c r="B332" s="21"/>
      <c r="C332" s="16"/>
      <c r="D332" s="16"/>
      <c r="E332" s="17"/>
      <c r="F332" s="22" t="str">
        <f aca="false">IF(D332="","",IFERROR(INDEX(Setup!$C$8:$C$37,MATCH(D332,Setup!$B$8:$B$37,0)),"Check category"))</f>
        <v/>
      </c>
      <c r="G332" s="23" t="str">
        <f aca="false">IF(B332="","",MONTH(B332))</f>
        <v/>
      </c>
      <c r="H332" s="23" t="str">
        <f aca="false">IF(B332="","",YEAR(B332))</f>
        <v/>
      </c>
    </row>
    <row r="333" customFormat="false" ht="15" hidden="false" customHeight="false" outlineLevel="0" collapsed="false">
      <c r="B333" s="21"/>
      <c r="C333" s="16"/>
      <c r="D333" s="16"/>
      <c r="E333" s="17"/>
      <c r="F333" s="22" t="str">
        <f aca="false">IF(D333="","",IFERROR(INDEX(Setup!$C$8:$C$37,MATCH(D333,Setup!$B$8:$B$37,0)),"Check category"))</f>
        <v/>
      </c>
      <c r="G333" s="23" t="str">
        <f aca="false">IF(B333="","",MONTH(B333))</f>
        <v/>
      </c>
      <c r="H333" s="23" t="str">
        <f aca="false">IF(B333="","",YEAR(B333))</f>
        <v/>
      </c>
    </row>
    <row r="334" customFormat="false" ht="15" hidden="false" customHeight="false" outlineLevel="0" collapsed="false">
      <c r="B334" s="21"/>
      <c r="C334" s="16"/>
      <c r="D334" s="16"/>
      <c r="E334" s="17"/>
      <c r="F334" s="22" t="str">
        <f aca="false">IF(D334="","",IFERROR(INDEX(Setup!$C$8:$C$37,MATCH(D334,Setup!$B$8:$B$37,0)),"Check category"))</f>
        <v/>
      </c>
      <c r="G334" s="23" t="str">
        <f aca="false">IF(B334="","",MONTH(B334))</f>
        <v/>
      </c>
      <c r="H334" s="23" t="str">
        <f aca="false">IF(B334="","",YEAR(B334))</f>
        <v/>
      </c>
    </row>
    <row r="335" customFormat="false" ht="15" hidden="false" customHeight="false" outlineLevel="0" collapsed="false">
      <c r="B335" s="21"/>
      <c r="C335" s="16"/>
      <c r="D335" s="16"/>
      <c r="E335" s="17"/>
      <c r="F335" s="22" t="str">
        <f aca="false">IF(D335="","",IFERROR(INDEX(Setup!$C$8:$C$37,MATCH(D335,Setup!$B$8:$B$37,0)),"Check category"))</f>
        <v/>
      </c>
      <c r="G335" s="23" t="str">
        <f aca="false">IF(B335="","",MONTH(B335))</f>
        <v/>
      </c>
      <c r="H335" s="23" t="str">
        <f aca="false">IF(B335="","",YEAR(B335))</f>
        <v/>
      </c>
    </row>
    <row r="336" customFormat="false" ht="15" hidden="false" customHeight="false" outlineLevel="0" collapsed="false">
      <c r="B336" s="21"/>
      <c r="C336" s="16"/>
      <c r="D336" s="16"/>
      <c r="E336" s="17"/>
      <c r="F336" s="22" t="str">
        <f aca="false">IF(D336="","",IFERROR(INDEX(Setup!$C$8:$C$37,MATCH(D336,Setup!$B$8:$B$37,0)),"Check category"))</f>
        <v/>
      </c>
      <c r="G336" s="23" t="str">
        <f aca="false">IF(B336="","",MONTH(B336))</f>
        <v/>
      </c>
      <c r="H336" s="23" t="str">
        <f aca="false">IF(B336="","",YEAR(B336))</f>
        <v/>
      </c>
    </row>
    <row r="337" customFormat="false" ht="15" hidden="false" customHeight="false" outlineLevel="0" collapsed="false">
      <c r="B337" s="21"/>
      <c r="C337" s="16"/>
      <c r="D337" s="16"/>
      <c r="E337" s="17"/>
      <c r="F337" s="22" t="str">
        <f aca="false">IF(D337="","",IFERROR(INDEX(Setup!$C$8:$C$37,MATCH(D337,Setup!$B$8:$B$37,0)),"Check category"))</f>
        <v/>
      </c>
      <c r="G337" s="23" t="str">
        <f aca="false">IF(B337="","",MONTH(B337))</f>
        <v/>
      </c>
      <c r="H337" s="23" t="str">
        <f aca="false">IF(B337="","",YEAR(B337))</f>
        <v/>
      </c>
    </row>
    <row r="338" customFormat="false" ht="15" hidden="false" customHeight="false" outlineLevel="0" collapsed="false">
      <c r="B338" s="21"/>
      <c r="C338" s="16"/>
      <c r="D338" s="16"/>
      <c r="E338" s="17"/>
      <c r="F338" s="22" t="str">
        <f aca="false">IF(D338="","",IFERROR(INDEX(Setup!$C$8:$C$37,MATCH(D338,Setup!$B$8:$B$37,0)),"Check category"))</f>
        <v/>
      </c>
      <c r="G338" s="23" t="str">
        <f aca="false">IF(B338="","",MONTH(B338))</f>
        <v/>
      </c>
      <c r="H338" s="23" t="str">
        <f aca="false">IF(B338="","",YEAR(B338))</f>
        <v/>
      </c>
    </row>
    <row r="339" customFormat="false" ht="15" hidden="false" customHeight="false" outlineLevel="0" collapsed="false">
      <c r="B339" s="21"/>
      <c r="C339" s="16"/>
      <c r="D339" s="16"/>
      <c r="E339" s="17"/>
      <c r="F339" s="22" t="str">
        <f aca="false">IF(D339="","",IFERROR(INDEX(Setup!$C$8:$C$37,MATCH(D339,Setup!$B$8:$B$37,0)),"Check category"))</f>
        <v/>
      </c>
      <c r="G339" s="23" t="str">
        <f aca="false">IF(B339="","",MONTH(B339))</f>
        <v/>
      </c>
      <c r="H339" s="23" t="str">
        <f aca="false">IF(B339="","",YEAR(B339))</f>
        <v/>
      </c>
    </row>
    <row r="340" customFormat="false" ht="15" hidden="false" customHeight="false" outlineLevel="0" collapsed="false">
      <c r="B340" s="21"/>
      <c r="C340" s="16"/>
      <c r="D340" s="16"/>
      <c r="E340" s="17"/>
      <c r="F340" s="22" t="str">
        <f aca="false">IF(D340="","",IFERROR(INDEX(Setup!$C$8:$C$37,MATCH(D340,Setup!$B$8:$B$37,0)),"Check category"))</f>
        <v/>
      </c>
      <c r="G340" s="23" t="str">
        <f aca="false">IF(B340="","",MONTH(B340))</f>
        <v/>
      </c>
      <c r="H340" s="23" t="str">
        <f aca="false">IF(B340="","",YEAR(B340))</f>
        <v/>
      </c>
    </row>
    <row r="341" customFormat="false" ht="15" hidden="false" customHeight="false" outlineLevel="0" collapsed="false">
      <c r="B341" s="21"/>
      <c r="C341" s="16"/>
      <c r="D341" s="16"/>
      <c r="E341" s="17"/>
      <c r="F341" s="22" t="str">
        <f aca="false">IF(D341="","",IFERROR(INDEX(Setup!$C$8:$C$37,MATCH(D341,Setup!$B$8:$B$37,0)),"Check category"))</f>
        <v/>
      </c>
      <c r="G341" s="23" t="str">
        <f aca="false">IF(B341="","",MONTH(B341))</f>
        <v/>
      </c>
      <c r="H341" s="23" t="str">
        <f aca="false">IF(B341="","",YEAR(B341))</f>
        <v/>
      </c>
    </row>
    <row r="342" customFormat="false" ht="15" hidden="false" customHeight="false" outlineLevel="0" collapsed="false">
      <c r="B342" s="21"/>
      <c r="C342" s="16"/>
      <c r="D342" s="16"/>
      <c r="E342" s="17"/>
      <c r="F342" s="22" t="str">
        <f aca="false">IF(D342="","",IFERROR(INDEX(Setup!$C$8:$C$37,MATCH(D342,Setup!$B$8:$B$37,0)),"Check category"))</f>
        <v/>
      </c>
      <c r="G342" s="23" t="str">
        <f aca="false">IF(B342="","",MONTH(B342))</f>
        <v/>
      </c>
      <c r="H342" s="23" t="str">
        <f aca="false">IF(B342="","",YEAR(B342))</f>
        <v/>
      </c>
    </row>
    <row r="343" customFormat="false" ht="15" hidden="false" customHeight="false" outlineLevel="0" collapsed="false">
      <c r="B343" s="21"/>
      <c r="C343" s="16"/>
      <c r="D343" s="16"/>
      <c r="E343" s="17"/>
      <c r="F343" s="22" t="str">
        <f aca="false">IF(D343="","",IFERROR(INDEX(Setup!$C$8:$C$37,MATCH(D343,Setup!$B$8:$B$37,0)),"Check category"))</f>
        <v/>
      </c>
      <c r="G343" s="23" t="str">
        <f aca="false">IF(B343="","",MONTH(B343))</f>
        <v/>
      </c>
      <c r="H343" s="23" t="str">
        <f aca="false">IF(B343="","",YEAR(B343))</f>
        <v/>
      </c>
    </row>
    <row r="344" customFormat="false" ht="15" hidden="false" customHeight="false" outlineLevel="0" collapsed="false">
      <c r="B344" s="21"/>
      <c r="C344" s="16"/>
      <c r="D344" s="16"/>
      <c r="E344" s="17"/>
      <c r="F344" s="22" t="str">
        <f aca="false">IF(D344="","",IFERROR(INDEX(Setup!$C$8:$C$37,MATCH(D344,Setup!$B$8:$B$37,0)),"Check category"))</f>
        <v/>
      </c>
      <c r="G344" s="23" t="str">
        <f aca="false">IF(B344="","",MONTH(B344))</f>
        <v/>
      </c>
      <c r="H344" s="23" t="str">
        <f aca="false">IF(B344="","",YEAR(B344))</f>
        <v/>
      </c>
    </row>
    <row r="345" customFormat="false" ht="15" hidden="false" customHeight="false" outlineLevel="0" collapsed="false">
      <c r="B345" s="21"/>
      <c r="C345" s="16"/>
      <c r="D345" s="16"/>
      <c r="E345" s="17"/>
      <c r="F345" s="22" t="str">
        <f aca="false">IF(D345="","",IFERROR(INDEX(Setup!$C$8:$C$37,MATCH(D345,Setup!$B$8:$B$37,0)),"Check category"))</f>
        <v/>
      </c>
      <c r="G345" s="23" t="str">
        <f aca="false">IF(B345="","",MONTH(B345))</f>
        <v/>
      </c>
      <c r="H345" s="23" t="str">
        <f aca="false">IF(B345="","",YEAR(B345))</f>
        <v/>
      </c>
    </row>
    <row r="346" customFormat="false" ht="15" hidden="false" customHeight="false" outlineLevel="0" collapsed="false">
      <c r="B346" s="21"/>
      <c r="C346" s="16"/>
      <c r="D346" s="16"/>
      <c r="E346" s="17"/>
      <c r="F346" s="22" t="str">
        <f aca="false">IF(D346="","",IFERROR(INDEX(Setup!$C$8:$C$37,MATCH(D346,Setup!$B$8:$B$37,0)),"Check category"))</f>
        <v/>
      </c>
      <c r="G346" s="23" t="str">
        <f aca="false">IF(B346="","",MONTH(B346))</f>
        <v/>
      </c>
      <c r="H346" s="23" t="str">
        <f aca="false">IF(B346="","",YEAR(B346))</f>
        <v/>
      </c>
    </row>
    <row r="347" customFormat="false" ht="15" hidden="false" customHeight="false" outlineLevel="0" collapsed="false">
      <c r="B347" s="21"/>
      <c r="C347" s="16"/>
      <c r="D347" s="16"/>
      <c r="E347" s="17"/>
      <c r="F347" s="22" t="str">
        <f aca="false">IF(D347="","",IFERROR(INDEX(Setup!$C$8:$C$37,MATCH(D347,Setup!$B$8:$B$37,0)),"Check category"))</f>
        <v/>
      </c>
      <c r="G347" s="23" t="str">
        <f aca="false">IF(B347="","",MONTH(B347))</f>
        <v/>
      </c>
      <c r="H347" s="23" t="str">
        <f aca="false">IF(B347="","",YEAR(B347))</f>
        <v/>
      </c>
    </row>
    <row r="348" customFormat="false" ht="15" hidden="false" customHeight="false" outlineLevel="0" collapsed="false">
      <c r="B348" s="21"/>
      <c r="C348" s="16"/>
      <c r="D348" s="16"/>
      <c r="E348" s="17"/>
      <c r="F348" s="22" t="str">
        <f aca="false">IF(D348="","",IFERROR(INDEX(Setup!$C$8:$C$37,MATCH(D348,Setup!$B$8:$B$37,0)),"Check category"))</f>
        <v/>
      </c>
      <c r="G348" s="23" t="str">
        <f aca="false">IF(B348="","",MONTH(B348))</f>
        <v/>
      </c>
      <c r="H348" s="23" t="str">
        <f aca="false">IF(B348="","",YEAR(B348))</f>
        <v/>
      </c>
    </row>
    <row r="349" customFormat="false" ht="15" hidden="false" customHeight="false" outlineLevel="0" collapsed="false">
      <c r="B349" s="21"/>
      <c r="C349" s="16"/>
      <c r="D349" s="16"/>
      <c r="E349" s="17"/>
      <c r="F349" s="22" t="str">
        <f aca="false">IF(D349="","",IFERROR(INDEX(Setup!$C$8:$C$37,MATCH(D349,Setup!$B$8:$B$37,0)),"Check category"))</f>
        <v/>
      </c>
      <c r="G349" s="23" t="str">
        <f aca="false">IF(B349="","",MONTH(B349))</f>
        <v/>
      </c>
      <c r="H349" s="23" t="str">
        <f aca="false">IF(B349="","",YEAR(B349))</f>
        <v/>
      </c>
    </row>
    <row r="350" customFormat="false" ht="15" hidden="false" customHeight="false" outlineLevel="0" collapsed="false">
      <c r="B350" s="21"/>
      <c r="C350" s="16"/>
      <c r="D350" s="16"/>
      <c r="E350" s="17"/>
      <c r="F350" s="22" t="str">
        <f aca="false">IF(D350="","",IFERROR(INDEX(Setup!$C$8:$C$37,MATCH(D350,Setup!$B$8:$B$37,0)),"Check category"))</f>
        <v/>
      </c>
      <c r="G350" s="23" t="str">
        <f aca="false">IF(B350="","",MONTH(B350))</f>
        <v/>
      </c>
      <c r="H350" s="23" t="str">
        <f aca="false">IF(B350="","",YEAR(B350))</f>
        <v/>
      </c>
    </row>
    <row r="351" customFormat="false" ht="15" hidden="false" customHeight="false" outlineLevel="0" collapsed="false">
      <c r="B351" s="21"/>
      <c r="C351" s="16"/>
      <c r="D351" s="16"/>
      <c r="E351" s="17"/>
      <c r="F351" s="22" t="str">
        <f aca="false">IF(D351="","",IFERROR(INDEX(Setup!$C$8:$C$37,MATCH(D351,Setup!$B$8:$B$37,0)),"Check category"))</f>
        <v/>
      </c>
      <c r="G351" s="23" t="str">
        <f aca="false">IF(B351="","",MONTH(B351))</f>
        <v/>
      </c>
      <c r="H351" s="23" t="str">
        <f aca="false">IF(B351="","",YEAR(B351))</f>
        <v/>
      </c>
    </row>
    <row r="352" customFormat="false" ht="15" hidden="false" customHeight="false" outlineLevel="0" collapsed="false">
      <c r="B352" s="21"/>
      <c r="C352" s="16"/>
      <c r="D352" s="16"/>
      <c r="E352" s="17"/>
      <c r="F352" s="22" t="str">
        <f aca="false">IF(D352="","",IFERROR(INDEX(Setup!$C$8:$C$37,MATCH(D352,Setup!$B$8:$B$37,0)),"Check category"))</f>
        <v/>
      </c>
      <c r="G352" s="23" t="str">
        <f aca="false">IF(B352="","",MONTH(B352))</f>
        <v/>
      </c>
      <c r="H352" s="23" t="str">
        <f aca="false">IF(B352="","",YEAR(B352))</f>
        <v/>
      </c>
    </row>
    <row r="353" customFormat="false" ht="15" hidden="false" customHeight="false" outlineLevel="0" collapsed="false">
      <c r="B353" s="21"/>
      <c r="C353" s="16"/>
      <c r="D353" s="16"/>
      <c r="E353" s="17"/>
      <c r="F353" s="22" t="str">
        <f aca="false">IF(D353="","",IFERROR(INDEX(Setup!$C$8:$C$37,MATCH(D353,Setup!$B$8:$B$37,0)),"Check category"))</f>
        <v/>
      </c>
      <c r="G353" s="23" t="str">
        <f aca="false">IF(B353="","",MONTH(B353))</f>
        <v/>
      </c>
      <c r="H353" s="23" t="str">
        <f aca="false">IF(B353="","",YEAR(B353))</f>
        <v/>
      </c>
    </row>
    <row r="354" customFormat="false" ht="15" hidden="false" customHeight="false" outlineLevel="0" collapsed="false">
      <c r="B354" s="21"/>
      <c r="C354" s="16"/>
      <c r="D354" s="16"/>
      <c r="E354" s="17"/>
      <c r="F354" s="22" t="str">
        <f aca="false">IF(D354="","",IFERROR(INDEX(Setup!$C$8:$C$37,MATCH(D354,Setup!$B$8:$B$37,0)),"Check category"))</f>
        <v/>
      </c>
      <c r="G354" s="23" t="str">
        <f aca="false">IF(B354="","",MONTH(B354))</f>
        <v/>
      </c>
      <c r="H354" s="23" t="str">
        <f aca="false">IF(B354="","",YEAR(B354))</f>
        <v/>
      </c>
    </row>
    <row r="355" customFormat="false" ht="15" hidden="false" customHeight="false" outlineLevel="0" collapsed="false">
      <c r="B355" s="21"/>
      <c r="C355" s="16"/>
      <c r="D355" s="16"/>
      <c r="E355" s="17"/>
      <c r="F355" s="22" t="str">
        <f aca="false">IF(D355="","",IFERROR(INDEX(Setup!$C$8:$C$37,MATCH(D355,Setup!$B$8:$B$37,0)),"Check category"))</f>
        <v/>
      </c>
      <c r="G355" s="23" t="str">
        <f aca="false">IF(B355="","",MONTH(B355))</f>
        <v/>
      </c>
      <c r="H355" s="23" t="str">
        <f aca="false">IF(B355="","",YEAR(B355))</f>
        <v/>
      </c>
    </row>
    <row r="356" customFormat="false" ht="15" hidden="false" customHeight="false" outlineLevel="0" collapsed="false">
      <c r="B356" s="21"/>
      <c r="C356" s="16"/>
      <c r="D356" s="16"/>
      <c r="E356" s="17"/>
      <c r="F356" s="22" t="str">
        <f aca="false">IF(D356="","",IFERROR(INDEX(Setup!$C$8:$C$37,MATCH(D356,Setup!$B$8:$B$37,0)),"Check category"))</f>
        <v/>
      </c>
      <c r="G356" s="23" t="str">
        <f aca="false">IF(B356="","",MONTH(B356))</f>
        <v/>
      </c>
      <c r="H356" s="23" t="str">
        <f aca="false">IF(B356="","",YEAR(B356))</f>
        <v/>
      </c>
    </row>
    <row r="357" customFormat="false" ht="15" hidden="false" customHeight="false" outlineLevel="0" collapsed="false">
      <c r="B357" s="21"/>
      <c r="C357" s="16"/>
      <c r="D357" s="16"/>
      <c r="E357" s="17"/>
      <c r="F357" s="22" t="str">
        <f aca="false">IF(D357="","",IFERROR(INDEX(Setup!$C$8:$C$37,MATCH(D357,Setup!$B$8:$B$37,0)),"Check category"))</f>
        <v/>
      </c>
      <c r="G357" s="23" t="str">
        <f aca="false">IF(B357="","",MONTH(B357))</f>
        <v/>
      </c>
      <c r="H357" s="23" t="str">
        <f aca="false">IF(B357="","",YEAR(B357))</f>
        <v/>
      </c>
    </row>
    <row r="358" customFormat="false" ht="15" hidden="false" customHeight="false" outlineLevel="0" collapsed="false">
      <c r="B358" s="21"/>
      <c r="C358" s="16"/>
      <c r="D358" s="16"/>
      <c r="E358" s="17"/>
      <c r="F358" s="22" t="str">
        <f aca="false">IF(D358="","",IFERROR(INDEX(Setup!$C$8:$C$37,MATCH(D358,Setup!$B$8:$B$37,0)),"Check category"))</f>
        <v/>
      </c>
      <c r="G358" s="23" t="str">
        <f aca="false">IF(B358="","",MONTH(B358))</f>
        <v/>
      </c>
      <c r="H358" s="23" t="str">
        <f aca="false">IF(B358="","",YEAR(B358))</f>
        <v/>
      </c>
    </row>
    <row r="359" customFormat="false" ht="15" hidden="false" customHeight="false" outlineLevel="0" collapsed="false">
      <c r="B359" s="21"/>
      <c r="C359" s="16"/>
      <c r="D359" s="16"/>
      <c r="E359" s="17"/>
      <c r="F359" s="22" t="str">
        <f aca="false">IF(D359="","",IFERROR(INDEX(Setup!$C$8:$C$37,MATCH(D359,Setup!$B$8:$B$37,0)),"Check category"))</f>
        <v/>
      </c>
      <c r="G359" s="23" t="str">
        <f aca="false">IF(B359="","",MONTH(B359))</f>
        <v/>
      </c>
      <c r="H359" s="23" t="str">
        <f aca="false">IF(B359="","",YEAR(B359))</f>
        <v/>
      </c>
    </row>
    <row r="360" customFormat="false" ht="15" hidden="false" customHeight="false" outlineLevel="0" collapsed="false">
      <c r="B360" s="21"/>
      <c r="C360" s="16"/>
      <c r="D360" s="16"/>
      <c r="E360" s="17"/>
      <c r="F360" s="22" t="str">
        <f aca="false">IF(D360="","",IFERROR(INDEX(Setup!$C$8:$C$37,MATCH(D360,Setup!$B$8:$B$37,0)),"Check category"))</f>
        <v/>
      </c>
      <c r="G360" s="23" t="str">
        <f aca="false">IF(B360="","",MONTH(B360))</f>
        <v/>
      </c>
      <c r="H360" s="23" t="str">
        <f aca="false">IF(B360="","",YEAR(B360))</f>
        <v/>
      </c>
    </row>
    <row r="361" customFormat="false" ht="15" hidden="false" customHeight="false" outlineLevel="0" collapsed="false">
      <c r="B361" s="21"/>
      <c r="C361" s="16"/>
      <c r="D361" s="16"/>
      <c r="E361" s="17"/>
      <c r="F361" s="22" t="str">
        <f aca="false">IF(D361="","",IFERROR(INDEX(Setup!$C$8:$C$37,MATCH(D361,Setup!$B$8:$B$37,0)),"Check category"))</f>
        <v/>
      </c>
      <c r="G361" s="23" t="str">
        <f aca="false">IF(B361="","",MONTH(B361))</f>
        <v/>
      </c>
      <c r="H361" s="23" t="str">
        <f aca="false">IF(B361="","",YEAR(B361))</f>
        <v/>
      </c>
    </row>
    <row r="362" customFormat="false" ht="15" hidden="false" customHeight="false" outlineLevel="0" collapsed="false">
      <c r="B362" s="21"/>
      <c r="C362" s="16"/>
      <c r="D362" s="16"/>
      <c r="E362" s="17"/>
      <c r="F362" s="22" t="str">
        <f aca="false">IF(D362="","",IFERROR(INDEX(Setup!$C$8:$C$37,MATCH(D362,Setup!$B$8:$B$37,0)),"Check category"))</f>
        <v/>
      </c>
      <c r="G362" s="23" t="str">
        <f aca="false">IF(B362="","",MONTH(B362))</f>
        <v/>
      </c>
      <c r="H362" s="23" t="str">
        <f aca="false">IF(B362="","",YEAR(B362))</f>
        <v/>
      </c>
    </row>
    <row r="363" customFormat="false" ht="15" hidden="false" customHeight="false" outlineLevel="0" collapsed="false">
      <c r="B363" s="21"/>
      <c r="C363" s="16"/>
      <c r="D363" s="16"/>
      <c r="E363" s="17"/>
      <c r="F363" s="22" t="str">
        <f aca="false">IF(D363="","",IFERROR(INDEX(Setup!$C$8:$C$37,MATCH(D363,Setup!$B$8:$B$37,0)),"Check category"))</f>
        <v/>
      </c>
      <c r="G363" s="23" t="str">
        <f aca="false">IF(B363="","",MONTH(B363))</f>
        <v/>
      </c>
      <c r="H363" s="23" t="str">
        <f aca="false">IF(B363="","",YEAR(B363))</f>
        <v/>
      </c>
    </row>
    <row r="364" customFormat="false" ht="15" hidden="false" customHeight="false" outlineLevel="0" collapsed="false">
      <c r="B364" s="21"/>
      <c r="C364" s="16"/>
      <c r="D364" s="16"/>
      <c r="E364" s="17"/>
      <c r="F364" s="22" t="str">
        <f aca="false">IF(D364="","",IFERROR(INDEX(Setup!$C$8:$C$37,MATCH(D364,Setup!$B$8:$B$37,0)),"Check category"))</f>
        <v/>
      </c>
      <c r="G364" s="23" t="str">
        <f aca="false">IF(B364="","",MONTH(B364))</f>
        <v/>
      </c>
      <c r="H364" s="23" t="str">
        <f aca="false">IF(B364="","",YEAR(B364))</f>
        <v/>
      </c>
    </row>
    <row r="365" customFormat="false" ht="15" hidden="false" customHeight="false" outlineLevel="0" collapsed="false">
      <c r="B365" s="21"/>
      <c r="C365" s="16"/>
      <c r="D365" s="16"/>
      <c r="E365" s="17"/>
      <c r="F365" s="22" t="str">
        <f aca="false">IF(D365="","",IFERROR(INDEX(Setup!$C$8:$C$37,MATCH(D365,Setup!$B$8:$B$37,0)),"Check category"))</f>
        <v/>
      </c>
      <c r="G365" s="23" t="str">
        <f aca="false">IF(B365="","",MONTH(B365))</f>
        <v/>
      </c>
      <c r="H365" s="23" t="str">
        <f aca="false">IF(B365="","",YEAR(B365))</f>
        <v/>
      </c>
    </row>
    <row r="366" customFormat="false" ht="15" hidden="false" customHeight="false" outlineLevel="0" collapsed="false">
      <c r="B366" s="21"/>
      <c r="C366" s="16"/>
      <c r="D366" s="16"/>
      <c r="E366" s="17"/>
      <c r="F366" s="22" t="str">
        <f aca="false">IF(D366="","",IFERROR(INDEX(Setup!$C$8:$C$37,MATCH(D366,Setup!$B$8:$B$37,0)),"Check category"))</f>
        <v/>
      </c>
      <c r="G366" s="23" t="str">
        <f aca="false">IF(B366="","",MONTH(B366))</f>
        <v/>
      </c>
      <c r="H366" s="23" t="str">
        <f aca="false">IF(B366="","",YEAR(B366))</f>
        <v/>
      </c>
    </row>
    <row r="367" customFormat="false" ht="15" hidden="false" customHeight="false" outlineLevel="0" collapsed="false">
      <c r="B367" s="21"/>
      <c r="C367" s="16"/>
      <c r="D367" s="16"/>
      <c r="E367" s="17"/>
      <c r="F367" s="22" t="str">
        <f aca="false">IF(D367="","",IFERROR(INDEX(Setup!$C$8:$C$37,MATCH(D367,Setup!$B$8:$B$37,0)),"Check category"))</f>
        <v/>
      </c>
      <c r="G367" s="23" t="str">
        <f aca="false">IF(B367="","",MONTH(B367))</f>
        <v/>
      </c>
      <c r="H367" s="23" t="str">
        <f aca="false">IF(B367="","",YEAR(B367))</f>
        <v/>
      </c>
    </row>
    <row r="368" customFormat="false" ht="15" hidden="false" customHeight="false" outlineLevel="0" collapsed="false">
      <c r="B368" s="21"/>
      <c r="C368" s="16"/>
      <c r="D368" s="16"/>
      <c r="E368" s="17"/>
      <c r="F368" s="22" t="str">
        <f aca="false">IF(D368="","",IFERROR(INDEX(Setup!$C$8:$C$37,MATCH(D368,Setup!$B$8:$B$37,0)),"Check category"))</f>
        <v/>
      </c>
      <c r="G368" s="23" t="str">
        <f aca="false">IF(B368="","",MONTH(B368))</f>
        <v/>
      </c>
      <c r="H368" s="23" t="str">
        <f aca="false">IF(B368="","",YEAR(B368))</f>
        <v/>
      </c>
    </row>
    <row r="369" customFormat="false" ht="15" hidden="false" customHeight="false" outlineLevel="0" collapsed="false">
      <c r="B369" s="21"/>
      <c r="C369" s="16"/>
      <c r="D369" s="16"/>
      <c r="E369" s="17"/>
      <c r="F369" s="22" t="str">
        <f aca="false">IF(D369="","",IFERROR(INDEX(Setup!$C$8:$C$37,MATCH(D369,Setup!$B$8:$B$37,0)),"Check category"))</f>
        <v/>
      </c>
      <c r="G369" s="23" t="str">
        <f aca="false">IF(B369="","",MONTH(B369))</f>
        <v/>
      </c>
      <c r="H369" s="23" t="str">
        <f aca="false">IF(B369="","",YEAR(B369))</f>
        <v/>
      </c>
    </row>
    <row r="370" customFormat="false" ht="15" hidden="false" customHeight="false" outlineLevel="0" collapsed="false">
      <c r="B370" s="21"/>
      <c r="C370" s="16"/>
      <c r="D370" s="16"/>
      <c r="E370" s="17"/>
      <c r="F370" s="22" t="str">
        <f aca="false">IF(D370="","",IFERROR(INDEX(Setup!$C$8:$C$37,MATCH(D370,Setup!$B$8:$B$37,0)),"Check category"))</f>
        <v/>
      </c>
      <c r="G370" s="23" t="str">
        <f aca="false">IF(B370="","",MONTH(B370))</f>
        <v/>
      </c>
      <c r="H370" s="23" t="str">
        <f aca="false">IF(B370="","",YEAR(B370))</f>
        <v/>
      </c>
    </row>
    <row r="371" customFormat="false" ht="15" hidden="false" customHeight="false" outlineLevel="0" collapsed="false">
      <c r="B371" s="21"/>
      <c r="C371" s="16"/>
      <c r="D371" s="16"/>
      <c r="E371" s="17"/>
      <c r="F371" s="22" t="str">
        <f aca="false">IF(D371="","",IFERROR(INDEX(Setup!$C$8:$C$37,MATCH(D371,Setup!$B$8:$B$37,0)),"Check category"))</f>
        <v/>
      </c>
      <c r="G371" s="23" t="str">
        <f aca="false">IF(B371="","",MONTH(B371))</f>
        <v/>
      </c>
      <c r="H371" s="23" t="str">
        <f aca="false">IF(B371="","",YEAR(B371))</f>
        <v/>
      </c>
    </row>
    <row r="372" customFormat="false" ht="15" hidden="false" customHeight="false" outlineLevel="0" collapsed="false">
      <c r="B372" s="21"/>
      <c r="C372" s="16"/>
      <c r="D372" s="16"/>
      <c r="E372" s="17"/>
      <c r="F372" s="22" t="str">
        <f aca="false">IF(D372="","",IFERROR(INDEX(Setup!$C$8:$C$37,MATCH(D372,Setup!$B$8:$B$37,0)),"Check category"))</f>
        <v/>
      </c>
      <c r="G372" s="23" t="str">
        <f aca="false">IF(B372="","",MONTH(B372))</f>
        <v/>
      </c>
      <c r="H372" s="23" t="str">
        <f aca="false">IF(B372="","",YEAR(B372))</f>
        <v/>
      </c>
    </row>
    <row r="373" customFormat="false" ht="15" hidden="false" customHeight="false" outlineLevel="0" collapsed="false">
      <c r="B373" s="21"/>
      <c r="C373" s="16"/>
      <c r="D373" s="16"/>
      <c r="E373" s="17"/>
      <c r="F373" s="22" t="str">
        <f aca="false">IF(D373="","",IFERROR(INDEX(Setup!$C$8:$C$37,MATCH(D373,Setup!$B$8:$B$37,0)),"Check category"))</f>
        <v/>
      </c>
      <c r="G373" s="23" t="str">
        <f aca="false">IF(B373="","",MONTH(B373))</f>
        <v/>
      </c>
      <c r="H373" s="23" t="str">
        <f aca="false">IF(B373="","",YEAR(B373))</f>
        <v/>
      </c>
    </row>
    <row r="374" customFormat="false" ht="15" hidden="false" customHeight="false" outlineLevel="0" collapsed="false">
      <c r="B374" s="21"/>
      <c r="C374" s="16"/>
      <c r="D374" s="16"/>
      <c r="E374" s="17"/>
      <c r="F374" s="22" t="str">
        <f aca="false">IF(D374="","",IFERROR(INDEX(Setup!$C$8:$C$37,MATCH(D374,Setup!$B$8:$B$37,0)),"Check category"))</f>
        <v/>
      </c>
      <c r="G374" s="23" t="str">
        <f aca="false">IF(B374="","",MONTH(B374))</f>
        <v/>
      </c>
      <c r="H374" s="23" t="str">
        <f aca="false">IF(B374="","",YEAR(B374))</f>
        <v/>
      </c>
    </row>
    <row r="375" customFormat="false" ht="15" hidden="false" customHeight="false" outlineLevel="0" collapsed="false">
      <c r="B375" s="21"/>
      <c r="C375" s="16"/>
      <c r="D375" s="16"/>
      <c r="E375" s="17"/>
      <c r="F375" s="22" t="str">
        <f aca="false">IF(D375="","",IFERROR(INDEX(Setup!$C$8:$C$37,MATCH(D375,Setup!$B$8:$B$37,0)),"Check category"))</f>
        <v/>
      </c>
      <c r="G375" s="23" t="str">
        <f aca="false">IF(B375="","",MONTH(B375))</f>
        <v/>
      </c>
      <c r="H375" s="23" t="str">
        <f aca="false">IF(B375="","",YEAR(B375))</f>
        <v/>
      </c>
    </row>
    <row r="376" customFormat="false" ht="15" hidden="false" customHeight="false" outlineLevel="0" collapsed="false">
      <c r="B376" s="21"/>
      <c r="C376" s="16"/>
      <c r="D376" s="16"/>
      <c r="E376" s="17"/>
      <c r="F376" s="22" t="str">
        <f aca="false">IF(D376="","",IFERROR(INDEX(Setup!$C$8:$C$37,MATCH(D376,Setup!$B$8:$B$37,0)),"Check category"))</f>
        <v/>
      </c>
      <c r="G376" s="23" t="str">
        <f aca="false">IF(B376="","",MONTH(B376))</f>
        <v/>
      </c>
      <c r="H376" s="23" t="str">
        <f aca="false">IF(B376="","",YEAR(B376))</f>
        <v/>
      </c>
    </row>
    <row r="377" customFormat="false" ht="15" hidden="false" customHeight="false" outlineLevel="0" collapsed="false">
      <c r="B377" s="21"/>
      <c r="C377" s="16"/>
      <c r="D377" s="16"/>
      <c r="E377" s="17"/>
      <c r="F377" s="22" t="str">
        <f aca="false">IF(D377="","",IFERROR(INDEX(Setup!$C$8:$C$37,MATCH(D377,Setup!$B$8:$B$37,0)),"Check category"))</f>
        <v/>
      </c>
      <c r="G377" s="23" t="str">
        <f aca="false">IF(B377="","",MONTH(B377))</f>
        <v/>
      </c>
      <c r="H377" s="23" t="str">
        <f aca="false">IF(B377="","",YEAR(B377))</f>
        <v/>
      </c>
    </row>
    <row r="378" customFormat="false" ht="15" hidden="false" customHeight="false" outlineLevel="0" collapsed="false">
      <c r="B378" s="21"/>
      <c r="C378" s="16"/>
      <c r="D378" s="16"/>
      <c r="E378" s="17"/>
      <c r="F378" s="22" t="str">
        <f aca="false">IF(D378="","",IFERROR(INDEX(Setup!$C$8:$C$37,MATCH(D378,Setup!$B$8:$B$37,0)),"Check category"))</f>
        <v/>
      </c>
      <c r="G378" s="23" t="str">
        <f aca="false">IF(B378="","",MONTH(B378))</f>
        <v/>
      </c>
      <c r="H378" s="23" t="str">
        <f aca="false">IF(B378="","",YEAR(B378))</f>
        <v/>
      </c>
    </row>
    <row r="379" customFormat="false" ht="15" hidden="false" customHeight="false" outlineLevel="0" collapsed="false">
      <c r="B379" s="21"/>
      <c r="C379" s="16"/>
      <c r="D379" s="16"/>
      <c r="E379" s="17"/>
      <c r="F379" s="22" t="str">
        <f aca="false">IF(D379="","",IFERROR(INDEX(Setup!$C$8:$C$37,MATCH(D379,Setup!$B$8:$B$37,0)),"Check category"))</f>
        <v/>
      </c>
      <c r="G379" s="23" t="str">
        <f aca="false">IF(B379="","",MONTH(B379))</f>
        <v/>
      </c>
      <c r="H379" s="23" t="str">
        <f aca="false">IF(B379="","",YEAR(B379))</f>
        <v/>
      </c>
    </row>
    <row r="380" customFormat="false" ht="15" hidden="false" customHeight="false" outlineLevel="0" collapsed="false">
      <c r="B380" s="21"/>
      <c r="C380" s="16"/>
      <c r="D380" s="16"/>
      <c r="E380" s="17"/>
      <c r="F380" s="22" t="str">
        <f aca="false">IF(D380="","",IFERROR(INDEX(Setup!$C$8:$C$37,MATCH(D380,Setup!$B$8:$B$37,0)),"Check category"))</f>
        <v/>
      </c>
      <c r="G380" s="23" t="str">
        <f aca="false">IF(B380="","",MONTH(B380))</f>
        <v/>
      </c>
      <c r="H380" s="23" t="str">
        <f aca="false">IF(B380="","",YEAR(B380))</f>
        <v/>
      </c>
    </row>
    <row r="381" customFormat="false" ht="15" hidden="false" customHeight="false" outlineLevel="0" collapsed="false">
      <c r="B381" s="21"/>
      <c r="C381" s="16"/>
      <c r="D381" s="16"/>
      <c r="E381" s="17"/>
      <c r="F381" s="22" t="str">
        <f aca="false">IF(D381="","",IFERROR(INDEX(Setup!$C$8:$C$37,MATCH(D381,Setup!$B$8:$B$37,0)),"Check category"))</f>
        <v/>
      </c>
      <c r="G381" s="23" t="str">
        <f aca="false">IF(B381="","",MONTH(B381))</f>
        <v/>
      </c>
      <c r="H381" s="23" t="str">
        <f aca="false">IF(B381="","",YEAR(B381))</f>
        <v/>
      </c>
    </row>
    <row r="382" customFormat="false" ht="15" hidden="false" customHeight="false" outlineLevel="0" collapsed="false">
      <c r="B382" s="21"/>
      <c r="C382" s="16"/>
      <c r="D382" s="16"/>
      <c r="E382" s="17"/>
      <c r="F382" s="22" t="str">
        <f aca="false">IF(D382="","",IFERROR(INDEX(Setup!$C$8:$C$37,MATCH(D382,Setup!$B$8:$B$37,0)),"Check category"))</f>
        <v/>
      </c>
      <c r="G382" s="23" t="str">
        <f aca="false">IF(B382="","",MONTH(B382))</f>
        <v/>
      </c>
      <c r="H382" s="23" t="str">
        <f aca="false">IF(B382="","",YEAR(B382))</f>
        <v/>
      </c>
    </row>
    <row r="383" customFormat="false" ht="15" hidden="false" customHeight="false" outlineLevel="0" collapsed="false">
      <c r="B383" s="21"/>
      <c r="C383" s="16"/>
      <c r="D383" s="16"/>
      <c r="E383" s="17"/>
      <c r="F383" s="22" t="str">
        <f aca="false">IF(D383="","",IFERROR(INDEX(Setup!$C$8:$C$37,MATCH(D383,Setup!$B$8:$B$37,0)),"Check category"))</f>
        <v/>
      </c>
      <c r="G383" s="23" t="str">
        <f aca="false">IF(B383="","",MONTH(B383))</f>
        <v/>
      </c>
      <c r="H383" s="23" t="str">
        <f aca="false">IF(B383="","",YEAR(B383))</f>
        <v/>
      </c>
    </row>
    <row r="384" customFormat="false" ht="15" hidden="false" customHeight="false" outlineLevel="0" collapsed="false">
      <c r="B384" s="21"/>
      <c r="C384" s="16"/>
      <c r="D384" s="16"/>
      <c r="E384" s="17"/>
      <c r="F384" s="22" t="str">
        <f aca="false">IF(D384="","",IFERROR(INDEX(Setup!$C$8:$C$37,MATCH(D384,Setup!$B$8:$B$37,0)),"Check category"))</f>
        <v/>
      </c>
      <c r="G384" s="23" t="str">
        <f aca="false">IF(B384="","",MONTH(B384))</f>
        <v/>
      </c>
      <c r="H384" s="23" t="str">
        <f aca="false">IF(B384="","",YEAR(B384))</f>
        <v/>
      </c>
    </row>
    <row r="385" customFormat="false" ht="15" hidden="false" customHeight="false" outlineLevel="0" collapsed="false">
      <c r="B385" s="21"/>
      <c r="C385" s="16"/>
      <c r="D385" s="16"/>
      <c r="E385" s="17"/>
      <c r="F385" s="22" t="str">
        <f aca="false">IF(D385="","",IFERROR(INDEX(Setup!$C$8:$C$37,MATCH(D385,Setup!$B$8:$B$37,0)),"Check category"))</f>
        <v/>
      </c>
      <c r="G385" s="23" t="str">
        <f aca="false">IF(B385="","",MONTH(B385))</f>
        <v/>
      </c>
      <c r="H385" s="23" t="str">
        <f aca="false">IF(B385="","",YEAR(B385))</f>
        <v/>
      </c>
    </row>
    <row r="386" customFormat="false" ht="15" hidden="false" customHeight="false" outlineLevel="0" collapsed="false">
      <c r="B386" s="21"/>
      <c r="C386" s="16"/>
      <c r="D386" s="16"/>
      <c r="E386" s="17"/>
      <c r="F386" s="22" t="str">
        <f aca="false">IF(D386="","",IFERROR(INDEX(Setup!$C$8:$C$37,MATCH(D386,Setup!$B$8:$B$37,0)),"Check category"))</f>
        <v/>
      </c>
      <c r="G386" s="23" t="str">
        <f aca="false">IF(B386="","",MONTH(B386))</f>
        <v/>
      </c>
      <c r="H386" s="23" t="str">
        <f aca="false">IF(B386="","",YEAR(B386))</f>
        <v/>
      </c>
    </row>
    <row r="387" customFormat="false" ht="15" hidden="false" customHeight="false" outlineLevel="0" collapsed="false">
      <c r="B387" s="21"/>
      <c r="C387" s="16"/>
      <c r="D387" s="16"/>
      <c r="E387" s="17"/>
      <c r="F387" s="22" t="str">
        <f aca="false">IF(D387="","",IFERROR(INDEX(Setup!$C$8:$C$37,MATCH(D387,Setup!$B$8:$B$37,0)),"Check category"))</f>
        <v/>
      </c>
      <c r="G387" s="23" t="str">
        <f aca="false">IF(B387="","",MONTH(B387))</f>
        <v/>
      </c>
      <c r="H387" s="23" t="str">
        <f aca="false">IF(B387="","",YEAR(B387))</f>
        <v/>
      </c>
    </row>
    <row r="388" customFormat="false" ht="15" hidden="false" customHeight="false" outlineLevel="0" collapsed="false">
      <c r="B388" s="21"/>
      <c r="C388" s="16"/>
      <c r="D388" s="16"/>
      <c r="E388" s="17"/>
      <c r="F388" s="22" t="str">
        <f aca="false">IF(D388="","",IFERROR(INDEX(Setup!$C$8:$C$37,MATCH(D388,Setup!$B$8:$B$37,0)),"Check category"))</f>
        <v/>
      </c>
      <c r="G388" s="23" t="str">
        <f aca="false">IF(B388="","",MONTH(B388))</f>
        <v/>
      </c>
      <c r="H388" s="23" t="str">
        <f aca="false">IF(B388="","",YEAR(B388))</f>
        <v/>
      </c>
    </row>
    <row r="389" customFormat="false" ht="15" hidden="false" customHeight="false" outlineLevel="0" collapsed="false">
      <c r="B389" s="21"/>
      <c r="C389" s="16"/>
      <c r="D389" s="16"/>
      <c r="E389" s="17"/>
      <c r="F389" s="22" t="str">
        <f aca="false">IF(D389="","",IFERROR(INDEX(Setup!$C$8:$C$37,MATCH(D389,Setup!$B$8:$B$37,0)),"Check category"))</f>
        <v/>
      </c>
      <c r="G389" s="23" t="str">
        <f aca="false">IF(B389="","",MONTH(B389))</f>
        <v/>
      </c>
      <c r="H389" s="23" t="str">
        <f aca="false">IF(B389="","",YEAR(B389))</f>
        <v/>
      </c>
    </row>
    <row r="390" customFormat="false" ht="15" hidden="false" customHeight="false" outlineLevel="0" collapsed="false">
      <c r="B390" s="21"/>
      <c r="C390" s="16"/>
      <c r="D390" s="16"/>
      <c r="E390" s="17"/>
      <c r="F390" s="22" t="str">
        <f aca="false">IF(D390="","",IFERROR(INDEX(Setup!$C$8:$C$37,MATCH(D390,Setup!$B$8:$B$37,0)),"Check category"))</f>
        <v/>
      </c>
      <c r="G390" s="23" t="str">
        <f aca="false">IF(B390="","",MONTH(B390))</f>
        <v/>
      </c>
      <c r="H390" s="23" t="str">
        <f aca="false">IF(B390="","",YEAR(B390))</f>
        <v/>
      </c>
    </row>
    <row r="391" customFormat="false" ht="15" hidden="false" customHeight="false" outlineLevel="0" collapsed="false">
      <c r="B391" s="21"/>
      <c r="C391" s="16"/>
      <c r="D391" s="16"/>
      <c r="E391" s="17"/>
      <c r="F391" s="22" t="str">
        <f aca="false">IF(D391="","",IFERROR(INDEX(Setup!$C$8:$C$37,MATCH(D391,Setup!$B$8:$B$37,0)),"Check category"))</f>
        <v/>
      </c>
      <c r="G391" s="23" t="str">
        <f aca="false">IF(B391="","",MONTH(B391))</f>
        <v/>
      </c>
      <c r="H391" s="23" t="str">
        <f aca="false">IF(B391="","",YEAR(B391))</f>
        <v/>
      </c>
    </row>
    <row r="392" customFormat="false" ht="15" hidden="false" customHeight="false" outlineLevel="0" collapsed="false">
      <c r="B392" s="21"/>
      <c r="C392" s="16"/>
      <c r="D392" s="16"/>
      <c r="E392" s="17"/>
      <c r="F392" s="22" t="str">
        <f aca="false">IF(D392="","",IFERROR(INDEX(Setup!$C$8:$C$37,MATCH(D392,Setup!$B$8:$B$37,0)),"Check category"))</f>
        <v/>
      </c>
      <c r="G392" s="23" t="str">
        <f aca="false">IF(B392="","",MONTH(B392))</f>
        <v/>
      </c>
      <c r="H392" s="23" t="str">
        <f aca="false">IF(B392="","",YEAR(B392))</f>
        <v/>
      </c>
    </row>
    <row r="393" customFormat="false" ht="15" hidden="false" customHeight="false" outlineLevel="0" collapsed="false">
      <c r="B393" s="21"/>
      <c r="C393" s="16"/>
      <c r="D393" s="16"/>
      <c r="E393" s="17"/>
      <c r="F393" s="22" t="str">
        <f aca="false">IF(D393="","",IFERROR(INDEX(Setup!$C$8:$C$37,MATCH(D393,Setup!$B$8:$B$37,0)),"Check category"))</f>
        <v/>
      </c>
      <c r="G393" s="23" t="str">
        <f aca="false">IF(B393="","",MONTH(B393))</f>
        <v/>
      </c>
      <c r="H393" s="23" t="str">
        <f aca="false">IF(B393="","",YEAR(B393))</f>
        <v/>
      </c>
    </row>
    <row r="394" customFormat="false" ht="15" hidden="false" customHeight="false" outlineLevel="0" collapsed="false">
      <c r="B394" s="21"/>
      <c r="C394" s="16"/>
      <c r="D394" s="16"/>
      <c r="E394" s="17"/>
      <c r="F394" s="22" t="str">
        <f aca="false">IF(D394="","",IFERROR(INDEX(Setup!$C$8:$C$37,MATCH(D394,Setup!$B$8:$B$37,0)),"Check category"))</f>
        <v/>
      </c>
      <c r="G394" s="23" t="str">
        <f aca="false">IF(B394="","",MONTH(B394))</f>
        <v/>
      </c>
      <c r="H394" s="23" t="str">
        <f aca="false">IF(B394="","",YEAR(B394))</f>
        <v/>
      </c>
    </row>
    <row r="395" customFormat="false" ht="15" hidden="false" customHeight="false" outlineLevel="0" collapsed="false">
      <c r="B395" s="21"/>
      <c r="C395" s="16"/>
      <c r="D395" s="16"/>
      <c r="E395" s="17"/>
      <c r="F395" s="22" t="str">
        <f aca="false">IF(D395="","",IFERROR(INDEX(Setup!$C$8:$C$37,MATCH(D395,Setup!$B$8:$B$37,0)),"Check category"))</f>
        <v/>
      </c>
      <c r="G395" s="23" t="str">
        <f aca="false">IF(B395="","",MONTH(B395))</f>
        <v/>
      </c>
      <c r="H395" s="23" t="str">
        <f aca="false">IF(B395="","",YEAR(B395))</f>
        <v/>
      </c>
    </row>
    <row r="396" customFormat="false" ht="15" hidden="false" customHeight="false" outlineLevel="0" collapsed="false">
      <c r="B396" s="21"/>
      <c r="C396" s="16"/>
      <c r="D396" s="16"/>
      <c r="E396" s="17"/>
      <c r="F396" s="22" t="str">
        <f aca="false">IF(D396="","",IFERROR(INDEX(Setup!$C$8:$C$37,MATCH(D396,Setup!$B$8:$B$37,0)),"Check category"))</f>
        <v/>
      </c>
      <c r="G396" s="23" t="str">
        <f aca="false">IF(B396="","",MONTH(B396))</f>
        <v/>
      </c>
      <c r="H396" s="23" t="str">
        <f aca="false">IF(B396="","",YEAR(B396))</f>
        <v/>
      </c>
    </row>
    <row r="397" customFormat="false" ht="15" hidden="false" customHeight="false" outlineLevel="0" collapsed="false">
      <c r="B397" s="21"/>
      <c r="C397" s="16"/>
      <c r="D397" s="16"/>
      <c r="E397" s="17"/>
      <c r="F397" s="22" t="str">
        <f aca="false">IF(D397="","",IFERROR(INDEX(Setup!$C$8:$C$37,MATCH(D397,Setup!$B$8:$B$37,0)),"Check category"))</f>
        <v/>
      </c>
      <c r="G397" s="23" t="str">
        <f aca="false">IF(B397="","",MONTH(B397))</f>
        <v/>
      </c>
      <c r="H397" s="23" t="str">
        <f aca="false">IF(B397="","",YEAR(B397))</f>
        <v/>
      </c>
    </row>
    <row r="398" customFormat="false" ht="15" hidden="false" customHeight="false" outlineLevel="0" collapsed="false">
      <c r="B398" s="21"/>
      <c r="C398" s="16"/>
      <c r="D398" s="16"/>
      <c r="E398" s="17"/>
      <c r="F398" s="22" t="str">
        <f aca="false">IF(D398="","",IFERROR(INDEX(Setup!$C$8:$C$37,MATCH(D398,Setup!$B$8:$B$37,0)),"Check category"))</f>
        <v/>
      </c>
      <c r="G398" s="23" t="str">
        <f aca="false">IF(B398="","",MONTH(B398))</f>
        <v/>
      </c>
      <c r="H398" s="23" t="str">
        <f aca="false">IF(B398="","",YEAR(B398))</f>
        <v/>
      </c>
    </row>
    <row r="399" customFormat="false" ht="15" hidden="false" customHeight="false" outlineLevel="0" collapsed="false">
      <c r="B399" s="21"/>
      <c r="C399" s="16"/>
      <c r="D399" s="16"/>
      <c r="E399" s="17"/>
      <c r="F399" s="22" t="str">
        <f aca="false">IF(D399="","",IFERROR(INDEX(Setup!$C$8:$C$37,MATCH(D399,Setup!$B$8:$B$37,0)),"Check category"))</f>
        <v/>
      </c>
      <c r="G399" s="23" t="str">
        <f aca="false">IF(B399="","",MONTH(B399))</f>
        <v/>
      </c>
      <c r="H399" s="23" t="str">
        <f aca="false">IF(B399="","",YEAR(B399))</f>
        <v/>
      </c>
    </row>
    <row r="400" customFormat="false" ht="15" hidden="false" customHeight="false" outlineLevel="0" collapsed="false">
      <c r="B400" s="21"/>
      <c r="C400" s="16"/>
      <c r="D400" s="16"/>
      <c r="E400" s="17"/>
      <c r="F400" s="22" t="str">
        <f aca="false">IF(D400="","",IFERROR(INDEX(Setup!$C$8:$C$37,MATCH(D400,Setup!$B$8:$B$37,0)),"Check category"))</f>
        <v/>
      </c>
      <c r="G400" s="23" t="str">
        <f aca="false">IF(B400="","",MONTH(B400))</f>
        <v/>
      </c>
      <c r="H400" s="23" t="str">
        <f aca="false">IF(B400="","",YEAR(B400))</f>
        <v/>
      </c>
    </row>
    <row r="401" customFormat="false" ht="15" hidden="false" customHeight="false" outlineLevel="0" collapsed="false">
      <c r="B401" s="21"/>
      <c r="C401" s="16"/>
      <c r="D401" s="16"/>
      <c r="E401" s="17"/>
      <c r="F401" s="22" t="str">
        <f aca="false">IF(D401="","",IFERROR(INDEX(Setup!$C$8:$C$37,MATCH(D401,Setup!$B$8:$B$37,0)),"Check category"))</f>
        <v/>
      </c>
      <c r="G401" s="23" t="str">
        <f aca="false">IF(B401="","",MONTH(B401))</f>
        <v/>
      </c>
      <c r="H401" s="23" t="str">
        <f aca="false">IF(B401="","",YEAR(B401))</f>
        <v/>
      </c>
    </row>
    <row r="402" customFormat="false" ht="15" hidden="false" customHeight="false" outlineLevel="0" collapsed="false">
      <c r="B402" s="21"/>
      <c r="C402" s="16"/>
      <c r="D402" s="16"/>
      <c r="E402" s="17"/>
      <c r="F402" s="22" t="str">
        <f aca="false">IF(D402="","",IFERROR(INDEX(Setup!$C$8:$C$37,MATCH(D402,Setup!$B$8:$B$37,0)),"Check category"))</f>
        <v/>
      </c>
      <c r="G402" s="23" t="str">
        <f aca="false">IF(B402="","",MONTH(B402))</f>
        <v/>
      </c>
      <c r="H402" s="23" t="str">
        <f aca="false">IF(B402="","",YEAR(B402))</f>
        <v/>
      </c>
    </row>
    <row r="403" customFormat="false" ht="15" hidden="false" customHeight="false" outlineLevel="0" collapsed="false">
      <c r="B403" s="21"/>
      <c r="C403" s="16"/>
      <c r="D403" s="16"/>
      <c r="E403" s="17"/>
      <c r="F403" s="22" t="str">
        <f aca="false">IF(D403="","",IFERROR(INDEX(Setup!$C$8:$C$37,MATCH(D403,Setup!$B$8:$B$37,0)),"Check category"))</f>
        <v/>
      </c>
      <c r="G403" s="23" t="str">
        <f aca="false">IF(B403="","",MONTH(B403))</f>
        <v/>
      </c>
      <c r="H403" s="23" t="str">
        <f aca="false">IF(B403="","",YEAR(B403))</f>
        <v/>
      </c>
    </row>
    <row r="404" customFormat="false" ht="15" hidden="false" customHeight="false" outlineLevel="0" collapsed="false">
      <c r="B404" s="21"/>
      <c r="C404" s="16"/>
      <c r="D404" s="16"/>
      <c r="E404" s="17"/>
      <c r="F404" s="22" t="str">
        <f aca="false">IF(D404="","",IFERROR(INDEX(Setup!$C$8:$C$37,MATCH(D404,Setup!$B$8:$B$37,0)),"Check category"))</f>
        <v/>
      </c>
      <c r="G404" s="23" t="str">
        <f aca="false">IF(B404="","",MONTH(B404))</f>
        <v/>
      </c>
      <c r="H404" s="23" t="str">
        <f aca="false">IF(B404="","",YEAR(B404))</f>
        <v/>
      </c>
    </row>
    <row r="405" customFormat="false" ht="15" hidden="false" customHeight="false" outlineLevel="0" collapsed="false">
      <c r="B405" s="21"/>
      <c r="C405" s="16"/>
      <c r="D405" s="16"/>
      <c r="E405" s="17"/>
      <c r="F405" s="22" t="str">
        <f aca="false">IF(D405="","",IFERROR(INDEX(Setup!$C$8:$C$37,MATCH(D405,Setup!$B$8:$B$37,0)),"Check category"))</f>
        <v/>
      </c>
      <c r="G405" s="23" t="str">
        <f aca="false">IF(B405="","",MONTH(B405))</f>
        <v/>
      </c>
      <c r="H405" s="23" t="str">
        <f aca="false">IF(B405="","",YEAR(B405))</f>
        <v/>
      </c>
    </row>
    <row r="406" customFormat="false" ht="15" hidden="false" customHeight="false" outlineLevel="0" collapsed="false">
      <c r="B406" s="21"/>
      <c r="C406" s="16"/>
      <c r="D406" s="16"/>
      <c r="E406" s="17"/>
      <c r="F406" s="22" t="str">
        <f aca="false">IF(D406="","",IFERROR(INDEX(Setup!$C$8:$C$37,MATCH(D406,Setup!$B$8:$B$37,0)),"Check category"))</f>
        <v/>
      </c>
      <c r="G406" s="23" t="str">
        <f aca="false">IF(B406="","",MONTH(B406))</f>
        <v/>
      </c>
      <c r="H406" s="23" t="str">
        <f aca="false">IF(B406="","",YEAR(B406))</f>
        <v/>
      </c>
    </row>
    <row r="407" customFormat="false" ht="15" hidden="false" customHeight="false" outlineLevel="0" collapsed="false">
      <c r="B407" s="21"/>
      <c r="C407" s="16"/>
      <c r="D407" s="16"/>
      <c r="E407" s="17"/>
      <c r="F407" s="22" t="str">
        <f aca="false">IF(D407="","",IFERROR(INDEX(Setup!$C$8:$C$37,MATCH(D407,Setup!$B$8:$B$37,0)),"Check category"))</f>
        <v/>
      </c>
      <c r="G407" s="23" t="str">
        <f aca="false">IF(B407="","",MONTH(B407))</f>
        <v/>
      </c>
      <c r="H407" s="23" t="str">
        <f aca="false">IF(B407="","",YEAR(B407))</f>
        <v/>
      </c>
    </row>
    <row r="408" customFormat="false" ht="15" hidden="false" customHeight="false" outlineLevel="0" collapsed="false">
      <c r="B408" s="21"/>
      <c r="C408" s="16"/>
      <c r="D408" s="16"/>
      <c r="E408" s="17"/>
      <c r="F408" s="22" t="str">
        <f aca="false">IF(D408="","",IFERROR(INDEX(Setup!$C$8:$C$37,MATCH(D408,Setup!$B$8:$B$37,0)),"Check category"))</f>
        <v/>
      </c>
      <c r="G408" s="23" t="str">
        <f aca="false">IF(B408="","",MONTH(B408))</f>
        <v/>
      </c>
      <c r="H408" s="23" t="str">
        <f aca="false">IF(B408="","",YEAR(B408))</f>
        <v/>
      </c>
    </row>
    <row r="409" customFormat="false" ht="15" hidden="false" customHeight="false" outlineLevel="0" collapsed="false">
      <c r="B409" s="21"/>
      <c r="C409" s="16"/>
      <c r="D409" s="16"/>
      <c r="E409" s="17"/>
      <c r="F409" s="22" t="str">
        <f aca="false">IF(D409="","",IFERROR(INDEX(Setup!$C$8:$C$37,MATCH(D409,Setup!$B$8:$B$37,0)),"Check category"))</f>
        <v/>
      </c>
      <c r="G409" s="23" t="str">
        <f aca="false">IF(B409="","",MONTH(B409))</f>
        <v/>
      </c>
      <c r="H409" s="23" t="str">
        <f aca="false">IF(B409="","",YEAR(B409))</f>
        <v/>
      </c>
    </row>
    <row r="410" customFormat="false" ht="15" hidden="false" customHeight="false" outlineLevel="0" collapsed="false">
      <c r="B410" s="21"/>
      <c r="C410" s="16"/>
      <c r="D410" s="16"/>
      <c r="E410" s="17"/>
      <c r="F410" s="22" t="str">
        <f aca="false">IF(D410="","",IFERROR(INDEX(Setup!$C$8:$C$37,MATCH(D410,Setup!$B$8:$B$37,0)),"Check category"))</f>
        <v/>
      </c>
      <c r="G410" s="23" t="str">
        <f aca="false">IF(B410="","",MONTH(B410))</f>
        <v/>
      </c>
      <c r="H410" s="23" t="str">
        <f aca="false">IF(B410="","",YEAR(B410))</f>
        <v/>
      </c>
    </row>
    <row r="411" customFormat="false" ht="15" hidden="false" customHeight="false" outlineLevel="0" collapsed="false">
      <c r="B411" s="21"/>
      <c r="C411" s="16"/>
      <c r="D411" s="16"/>
      <c r="E411" s="17"/>
      <c r="F411" s="22" t="str">
        <f aca="false">IF(D411="","",IFERROR(INDEX(Setup!$C$8:$C$37,MATCH(D411,Setup!$B$8:$B$37,0)),"Check category"))</f>
        <v/>
      </c>
      <c r="G411" s="23" t="str">
        <f aca="false">IF(B411="","",MONTH(B411))</f>
        <v/>
      </c>
      <c r="H411" s="23" t="str">
        <f aca="false">IF(B411="","",YEAR(B411))</f>
        <v/>
      </c>
    </row>
    <row r="412" customFormat="false" ht="15" hidden="false" customHeight="false" outlineLevel="0" collapsed="false">
      <c r="B412" s="21"/>
      <c r="C412" s="16"/>
      <c r="D412" s="16"/>
      <c r="E412" s="17"/>
      <c r="F412" s="22" t="str">
        <f aca="false">IF(D412="","",IFERROR(INDEX(Setup!$C$8:$C$37,MATCH(D412,Setup!$B$8:$B$37,0)),"Check category"))</f>
        <v/>
      </c>
      <c r="G412" s="23" t="str">
        <f aca="false">IF(B412="","",MONTH(B412))</f>
        <v/>
      </c>
      <c r="H412" s="23" t="str">
        <f aca="false">IF(B412="","",YEAR(B412))</f>
        <v/>
      </c>
    </row>
    <row r="413" customFormat="false" ht="15" hidden="false" customHeight="false" outlineLevel="0" collapsed="false">
      <c r="B413" s="21"/>
      <c r="C413" s="16"/>
      <c r="D413" s="16"/>
      <c r="E413" s="17"/>
      <c r="F413" s="22" t="str">
        <f aca="false">IF(D413="","",IFERROR(INDEX(Setup!$C$8:$C$37,MATCH(D413,Setup!$B$8:$B$37,0)),"Check category"))</f>
        <v/>
      </c>
      <c r="G413" s="23" t="str">
        <f aca="false">IF(B413="","",MONTH(B413))</f>
        <v/>
      </c>
      <c r="H413" s="23" t="str">
        <f aca="false">IF(B413="","",YEAR(B413))</f>
        <v/>
      </c>
    </row>
    <row r="414" customFormat="false" ht="15" hidden="false" customHeight="false" outlineLevel="0" collapsed="false">
      <c r="B414" s="21"/>
      <c r="C414" s="16"/>
      <c r="D414" s="16"/>
      <c r="E414" s="17"/>
      <c r="F414" s="22" t="str">
        <f aca="false">IF(D414="","",IFERROR(INDEX(Setup!$C$8:$C$37,MATCH(D414,Setup!$B$8:$B$37,0)),"Check category"))</f>
        <v/>
      </c>
      <c r="G414" s="23" t="str">
        <f aca="false">IF(B414="","",MONTH(B414))</f>
        <v/>
      </c>
      <c r="H414" s="23" t="str">
        <f aca="false">IF(B414="","",YEAR(B414))</f>
        <v/>
      </c>
    </row>
    <row r="415" customFormat="false" ht="15" hidden="false" customHeight="false" outlineLevel="0" collapsed="false">
      <c r="B415" s="21"/>
      <c r="C415" s="16"/>
      <c r="D415" s="16"/>
      <c r="E415" s="17"/>
      <c r="F415" s="22" t="str">
        <f aca="false">IF(D415="","",IFERROR(INDEX(Setup!$C$8:$C$37,MATCH(D415,Setup!$B$8:$B$37,0)),"Check category"))</f>
        <v/>
      </c>
      <c r="G415" s="23" t="str">
        <f aca="false">IF(B415="","",MONTH(B415))</f>
        <v/>
      </c>
      <c r="H415" s="23" t="str">
        <f aca="false">IF(B415="","",YEAR(B415))</f>
        <v/>
      </c>
    </row>
    <row r="416" customFormat="false" ht="15" hidden="false" customHeight="false" outlineLevel="0" collapsed="false">
      <c r="B416" s="21"/>
      <c r="C416" s="16"/>
      <c r="D416" s="16"/>
      <c r="E416" s="17"/>
      <c r="F416" s="22" t="str">
        <f aca="false">IF(D416="","",IFERROR(INDEX(Setup!$C$8:$C$37,MATCH(D416,Setup!$B$8:$B$37,0)),"Check category"))</f>
        <v/>
      </c>
      <c r="G416" s="23" t="str">
        <f aca="false">IF(B416="","",MONTH(B416))</f>
        <v/>
      </c>
      <c r="H416" s="23" t="str">
        <f aca="false">IF(B416="","",YEAR(B416))</f>
        <v/>
      </c>
    </row>
    <row r="417" customFormat="false" ht="15" hidden="false" customHeight="false" outlineLevel="0" collapsed="false">
      <c r="B417" s="21"/>
      <c r="C417" s="16"/>
      <c r="D417" s="16"/>
      <c r="E417" s="17"/>
      <c r="F417" s="22" t="str">
        <f aca="false">IF(D417="","",IFERROR(INDEX(Setup!$C$8:$C$37,MATCH(D417,Setup!$B$8:$B$37,0)),"Check category"))</f>
        <v/>
      </c>
      <c r="G417" s="23" t="str">
        <f aca="false">IF(B417="","",MONTH(B417))</f>
        <v/>
      </c>
      <c r="H417" s="23" t="str">
        <f aca="false">IF(B417="","",YEAR(B417))</f>
        <v/>
      </c>
    </row>
    <row r="418" customFormat="false" ht="15" hidden="false" customHeight="false" outlineLevel="0" collapsed="false">
      <c r="B418" s="21"/>
      <c r="C418" s="16"/>
      <c r="D418" s="16"/>
      <c r="E418" s="17"/>
      <c r="F418" s="22" t="str">
        <f aca="false">IF(D418="","",IFERROR(INDEX(Setup!$C$8:$C$37,MATCH(D418,Setup!$B$8:$B$37,0)),"Check category"))</f>
        <v/>
      </c>
      <c r="G418" s="23" t="str">
        <f aca="false">IF(B418="","",MONTH(B418))</f>
        <v/>
      </c>
      <c r="H418" s="23" t="str">
        <f aca="false">IF(B418="","",YEAR(B418))</f>
        <v/>
      </c>
    </row>
    <row r="419" customFormat="false" ht="15" hidden="false" customHeight="false" outlineLevel="0" collapsed="false">
      <c r="B419" s="21"/>
      <c r="C419" s="16"/>
      <c r="D419" s="16"/>
      <c r="E419" s="17"/>
      <c r="F419" s="22" t="str">
        <f aca="false">IF(D419="","",IFERROR(INDEX(Setup!$C$8:$C$37,MATCH(D419,Setup!$B$8:$B$37,0)),"Check category"))</f>
        <v/>
      </c>
      <c r="G419" s="23" t="str">
        <f aca="false">IF(B419="","",MONTH(B419))</f>
        <v/>
      </c>
      <c r="H419" s="23" t="str">
        <f aca="false">IF(B419="","",YEAR(B419))</f>
        <v/>
      </c>
    </row>
    <row r="420" customFormat="false" ht="15" hidden="false" customHeight="false" outlineLevel="0" collapsed="false">
      <c r="B420" s="21"/>
      <c r="C420" s="16"/>
      <c r="D420" s="16"/>
      <c r="E420" s="17"/>
      <c r="F420" s="22" t="str">
        <f aca="false">IF(D420="","",IFERROR(INDEX(Setup!$C$8:$C$37,MATCH(D420,Setup!$B$8:$B$37,0)),"Check category"))</f>
        <v/>
      </c>
      <c r="G420" s="23" t="str">
        <f aca="false">IF(B420="","",MONTH(B420))</f>
        <v/>
      </c>
      <c r="H420" s="23" t="str">
        <f aca="false">IF(B420="","",YEAR(B420))</f>
        <v/>
      </c>
    </row>
    <row r="421" customFormat="false" ht="15" hidden="false" customHeight="false" outlineLevel="0" collapsed="false">
      <c r="B421" s="21"/>
      <c r="C421" s="16"/>
      <c r="D421" s="16"/>
      <c r="E421" s="17"/>
      <c r="F421" s="22" t="str">
        <f aca="false">IF(D421="","",IFERROR(INDEX(Setup!$C$8:$C$37,MATCH(D421,Setup!$B$8:$B$37,0)),"Check category"))</f>
        <v/>
      </c>
      <c r="G421" s="23" t="str">
        <f aca="false">IF(B421="","",MONTH(B421))</f>
        <v/>
      </c>
      <c r="H421" s="23" t="str">
        <f aca="false">IF(B421="","",YEAR(B421))</f>
        <v/>
      </c>
    </row>
    <row r="422" customFormat="false" ht="15" hidden="false" customHeight="false" outlineLevel="0" collapsed="false">
      <c r="B422" s="21"/>
      <c r="C422" s="16"/>
      <c r="D422" s="16"/>
      <c r="E422" s="17"/>
      <c r="F422" s="22" t="str">
        <f aca="false">IF(D422="","",IFERROR(INDEX(Setup!$C$8:$C$37,MATCH(D422,Setup!$B$8:$B$37,0)),"Check category"))</f>
        <v/>
      </c>
      <c r="G422" s="23" t="str">
        <f aca="false">IF(B422="","",MONTH(B422))</f>
        <v/>
      </c>
      <c r="H422" s="23" t="str">
        <f aca="false">IF(B422="","",YEAR(B422))</f>
        <v/>
      </c>
    </row>
    <row r="423" customFormat="false" ht="15" hidden="false" customHeight="false" outlineLevel="0" collapsed="false">
      <c r="B423" s="21"/>
      <c r="C423" s="16"/>
      <c r="D423" s="16"/>
      <c r="E423" s="17"/>
      <c r="F423" s="22" t="str">
        <f aca="false">IF(D423="","",IFERROR(INDEX(Setup!$C$8:$C$37,MATCH(D423,Setup!$B$8:$B$37,0)),"Check category"))</f>
        <v/>
      </c>
      <c r="G423" s="23" t="str">
        <f aca="false">IF(B423="","",MONTH(B423))</f>
        <v/>
      </c>
      <c r="H423" s="23" t="str">
        <f aca="false">IF(B423="","",YEAR(B423))</f>
        <v/>
      </c>
    </row>
    <row r="424" customFormat="false" ht="15" hidden="false" customHeight="false" outlineLevel="0" collapsed="false">
      <c r="B424" s="21"/>
      <c r="C424" s="16"/>
      <c r="D424" s="16"/>
      <c r="E424" s="17"/>
      <c r="F424" s="22" t="str">
        <f aca="false">IF(D424="","",IFERROR(INDEX(Setup!$C$8:$C$37,MATCH(D424,Setup!$B$8:$B$37,0)),"Check category"))</f>
        <v/>
      </c>
      <c r="G424" s="23" t="str">
        <f aca="false">IF(B424="","",MONTH(B424))</f>
        <v/>
      </c>
      <c r="H424" s="23" t="str">
        <f aca="false">IF(B424="","",YEAR(B424))</f>
        <v/>
      </c>
    </row>
    <row r="425" customFormat="false" ht="15" hidden="false" customHeight="false" outlineLevel="0" collapsed="false">
      <c r="B425" s="21"/>
      <c r="C425" s="16"/>
      <c r="D425" s="16"/>
      <c r="E425" s="17"/>
      <c r="F425" s="22" t="str">
        <f aca="false">IF(D425="","",IFERROR(INDEX(Setup!$C$8:$C$37,MATCH(D425,Setup!$B$8:$B$37,0)),"Check category"))</f>
        <v/>
      </c>
      <c r="G425" s="23" t="str">
        <f aca="false">IF(B425="","",MONTH(B425))</f>
        <v/>
      </c>
      <c r="H425" s="23" t="str">
        <f aca="false">IF(B425="","",YEAR(B425))</f>
        <v/>
      </c>
    </row>
    <row r="426" customFormat="false" ht="15" hidden="false" customHeight="false" outlineLevel="0" collapsed="false">
      <c r="B426" s="21"/>
      <c r="C426" s="16"/>
      <c r="D426" s="16"/>
      <c r="E426" s="17"/>
      <c r="F426" s="22" t="str">
        <f aca="false">IF(D426="","",IFERROR(INDEX(Setup!$C$8:$C$37,MATCH(D426,Setup!$B$8:$B$37,0)),"Check category"))</f>
        <v/>
      </c>
      <c r="G426" s="23" t="str">
        <f aca="false">IF(B426="","",MONTH(B426))</f>
        <v/>
      </c>
      <c r="H426" s="23" t="str">
        <f aca="false">IF(B426="","",YEAR(B426))</f>
        <v/>
      </c>
    </row>
    <row r="427" customFormat="false" ht="15" hidden="false" customHeight="false" outlineLevel="0" collapsed="false">
      <c r="B427" s="21"/>
      <c r="C427" s="16"/>
      <c r="D427" s="16"/>
      <c r="E427" s="17"/>
      <c r="F427" s="22" t="str">
        <f aca="false">IF(D427="","",IFERROR(INDEX(Setup!$C$8:$C$37,MATCH(D427,Setup!$B$8:$B$37,0)),"Check category"))</f>
        <v/>
      </c>
      <c r="G427" s="23" t="str">
        <f aca="false">IF(B427="","",MONTH(B427))</f>
        <v/>
      </c>
      <c r="H427" s="23" t="str">
        <f aca="false">IF(B427="","",YEAR(B427))</f>
        <v/>
      </c>
    </row>
    <row r="428" customFormat="false" ht="15" hidden="false" customHeight="false" outlineLevel="0" collapsed="false">
      <c r="B428" s="21"/>
      <c r="C428" s="16"/>
      <c r="D428" s="16"/>
      <c r="E428" s="17"/>
      <c r="F428" s="22" t="str">
        <f aca="false">IF(D428="","",IFERROR(INDEX(Setup!$C$8:$C$37,MATCH(D428,Setup!$B$8:$B$37,0)),"Check category"))</f>
        <v/>
      </c>
      <c r="G428" s="23" t="str">
        <f aca="false">IF(B428="","",MONTH(B428))</f>
        <v/>
      </c>
      <c r="H428" s="23" t="str">
        <f aca="false">IF(B428="","",YEAR(B428))</f>
        <v/>
      </c>
    </row>
    <row r="429" customFormat="false" ht="15" hidden="false" customHeight="false" outlineLevel="0" collapsed="false">
      <c r="B429" s="21"/>
      <c r="C429" s="16"/>
      <c r="D429" s="16"/>
      <c r="E429" s="17"/>
      <c r="F429" s="22" t="str">
        <f aca="false">IF(D429="","",IFERROR(INDEX(Setup!$C$8:$C$37,MATCH(D429,Setup!$B$8:$B$37,0)),"Check category"))</f>
        <v/>
      </c>
      <c r="G429" s="23" t="str">
        <f aca="false">IF(B429="","",MONTH(B429))</f>
        <v/>
      </c>
      <c r="H429" s="23" t="str">
        <f aca="false">IF(B429="","",YEAR(B429))</f>
        <v/>
      </c>
    </row>
    <row r="430" customFormat="false" ht="15" hidden="false" customHeight="false" outlineLevel="0" collapsed="false">
      <c r="B430" s="21"/>
      <c r="C430" s="16"/>
      <c r="D430" s="16"/>
      <c r="E430" s="17"/>
      <c r="F430" s="22" t="str">
        <f aca="false">IF(D430="","",IFERROR(INDEX(Setup!$C$8:$C$37,MATCH(D430,Setup!$B$8:$B$37,0)),"Check category"))</f>
        <v/>
      </c>
      <c r="G430" s="23" t="str">
        <f aca="false">IF(B430="","",MONTH(B430))</f>
        <v/>
      </c>
      <c r="H430" s="23" t="str">
        <f aca="false">IF(B430="","",YEAR(B430))</f>
        <v/>
      </c>
    </row>
    <row r="431" customFormat="false" ht="15" hidden="false" customHeight="false" outlineLevel="0" collapsed="false">
      <c r="B431" s="21"/>
      <c r="C431" s="16"/>
      <c r="D431" s="16"/>
      <c r="E431" s="17"/>
      <c r="F431" s="22" t="str">
        <f aca="false">IF(D431="","",IFERROR(INDEX(Setup!$C$8:$C$37,MATCH(D431,Setup!$B$8:$B$37,0)),"Check category"))</f>
        <v/>
      </c>
      <c r="G431" s="23" t="str">
        <f aca="false">IF(B431="","",MONTH(B431))</f>
        <v/>
      </c>
      <c r="H431" s="23" t="str">
        <f aca="false">IF(B431="","",YEAR(B431))</f>
        <v/>
      </c>
    </row>
    <row r="432" customFormat="false" ht="15" hidden="false" customHeight="false" outlineLevel="0" collapsed="false">
      <c r="B432" s="21"/>
      <c r="C432" s="16"/>
      <c r="D432" s="16"/>
      <c r="E432" s="17"/>
      <c r="F432" s="22" t="str">
        <f aca="false">IF(D432="","",IFERROR(INDEX(Setup!$C$8:$C$37,MATCH(D432,Setup!$B$8:$B$37,0)),"Check category"))</f>
        <v/>
      </c>
      <c r="G432" s="23" t="str">
        <f aca="false">IF(B432="","",MONTH(B432))</f>
        <v/>
      </c>
      <c r="H432" s="23" t="str">
        <f aca="false">IF(B432="","",YEAR(B432))</f>
        <v/>
      </c>
    </row>
    <row r="433" customFormat="false" ht="15" hidden="false" customHeight="false" outlineLevel="0" collapsed="false">
      <c r="B433" s="21"/>
      <c r="C433" s="16"/>
      <c r="D433" s="16"/>
      <c r="E433" s="17"/>
      <c r="F433" s="22" t="str">
        <f aca="false">IF(D433="","",IFERROR(INDEX(Setup!$C$8:$C$37,MATCH(D433,Setup!$B$8:$B$37,0)),"Check category"))</f>
        <v/>
      </c>
      <c r="G433" s="23" t="str">
        <f aca="false">IF(B433="","",MONTH(B433))</f>
        <v/>
      </c>
      <c r="H433" s="23" t="str">
        <f aca="false">IF(B433="","",YEAR(B433))</f>
        <v/>
      </c>
    </row>
    <row r="434" customFormat="false" ht="15" hidden="false" customHeight="false" outlineLevel="0" collapsed="false">
      <c r="B434" s="21"/>
      <c r="C434" s="16"/>
      <c r="D434" s="16"/>
      <c r="E434" s="17"/>
      <c r="F434" s="22" t="str">
        <f aca="false">IF(D434="","",IFERROR(INDEX(Setup!$C$8:$C$37,MATCH(D434,Setup!$B$8:$B$37,0)),"Check category"))</f>
        <v/>
      </c>
      <c r="G434" s="23" t="str">
        <f aca="false">IF(B434="","",MONTH(B434))</f>
        <v/>
      </c>
      <c r="H434" s="23" t="str">
        <f aca="false">IF(B434="","",YEAR(B434))</f>
        <v/>
      </c>
    </row>
    <row r="435" customFormat="false" ht="15" hidden="false" customHeight="false" outlineLevel="0" collapsed="false">
      <c r="B435" s="21"/>
      <c r="C435" s="16"/>
      <c r="D435" s="16"/>
      <c r="E435" s="17"/>
      <c r="F435" s="22" t="str">
        <f aca="false">IF(D435="","",IFERROR(INDEX(Setup!$C$8:$C$37,MATCH(D435,Setup!$B$8:$B$37,0)),"Check category"))</f>
        <v/>
      </c>
      <c r="G435" s="23" t="str">
        <f aca="false">IF(B435="","",MONTH(B435))</f>
        <v/>
      </c>
      <c r="H435" s="23" t="str">
        <f aca="false">IF(B435="","",YEAR(B435))</f>
        <v/>
      </c>
    </row>
    <row r="436" customFormat="false" ht="15" hidden="false" customHeight="false" outlineLevel="0" collapsed="false">
      <c r="B436" s="21"/>
      <c r="C436" s="16"/>
      <c r="D436" s="16"/>
      <c r="E436" s="17"/>
      <c r="F436" s="22" t="str">
        <f aca="false">IF(D436="","",IFERROR(INDEX(Setup!$C$8:$C$37,MATCH(D436,Setup!$B$8:$B$37,0)),"Check category"))</f>
        <v/>
      </c>
      <c r="G436" s="23" t="str">
        <f aca="false">IF(B436="","",MONTH(B436))</f>
        <v/>
      </c>
      <c r="H436" s="23" t="str">
        <f aca="false">IF(B436="","",YEAR(B436))</f>
        <v/>
      </c>
    </row>
    <row r="437" customFormat="false" ht="15" hidden="false" customHeight="false" outlineLevel="0" collapsed="false">
      <c r="B437" s="21"/>
      <c r="C437" s="16"/>
      <c r="D437" s="16"/>
      <c r="E437" s="17"/>
      <c r="F437" s="22" t="str">
        <f aca="false">IF(D437="","",IFERROR(INDEX(Setup!$C$8:$C$37,MATCH(D437,Setup!$B$8:$B$37,0)),"Check category"))</f>
        <v/>
      </c>
      <c r="G437" s="23" t="str">
        <f aca="false">IF(B437="","",MONTH(B437))</f>
        <v/>
      </c>
      <c r="H437" s="23" t="str">
        <f aca="false">IF(B437="","",YEAR(B437))</f>
        <v/>
      </c>
    </row>
    <row r="438" customFormat="false" ht="15" hidden="false" customHeight="false" outlineLevel="0" collapsed="false">
      <c r="B438" s="21"/>
      <c r="C438" s="16"/>
      <c r="D438" s="16"/>
      <c r="E438" s="17"/>
      <c r="F438" s="22" t="str">
        <f aca="false">IF(D438="","",IFERROR(INDEX(Setup!$C$8:$C$37,MATCH(D438,Setup!$B$8:$B$37,0)),"Check category"))</f>
        <v/>
      </c>
      <c r="G438" s="23" t="str">
        <f aca="false">IF(B438="","",MONTH(B438))</f>
        <v/>
      </c>
      <c r="H438" s="23" t="str">
        <f aca="false">IF(B438="","",YEAR(B438))</f>
        <v/>
      </c>
    </row>
    <row r="439" customFormat="false" ht="15" hidden="false" customHeight="false" outlineLevel="0" collapsed="false">
      <c r="B439" s="21"/>
      <c r="C439" s="16"/>
      <c r="D439" s="16"/>
      <c r="E439" s="17"/>
      <c r="F439" s="22" t="str">
        <f aca="false">IF(D439="","",IFERROR(INDEX(Setup!$C$8:$C$37,MATCH(D439,Setup!$B$8:$B$37,0)),"Check category"))</f>
        <v/>
      </c>
      <c r="G439" s="23" t="str">
        <f aca="false">IF(B439="","",MONTH(B439))</f>
        <v/>
      </c>
      <c r="H439" s="23" t="str">
        <f aca="false">IF(B439="","",YEAR(B439))</f>
        <v/>
      </c>
    </row>
    <row r="440" customFormat="false" ht="15" hidden="false" customHeight="false" outlineLevel="0" collapsed="false">
      <c r="B440" s="21"/>
      <c r="C440" s="16"/>
      <c r="D440" s="16"/>
      <c r="E440" s="17"/>
      <c r="F440" s="22" t="str">
        <f aca="false">IF(D440="","",IFERROR(INDEX(Setup!$C$8:$C$37,MATCH(D440,Setup!$B$8:$B$37,0)),"Check category"))</f>
        <v/>
      </c>
      <c r="G440" s="23" t="str">
        <f aca="false">IF(B440="","",MONTH(B440))</f>
        <v/>
      </c>
      <c r="H440" s="23" t="str">
        <f aca="false">IF(B440="","",YEAR(B440))</f>
        <v/>
      </c>
    </row>
    <row r="441" customFormat="false" ht="15" hidden="false" customHeight="false" outlineLevel="0" collapsed="false">
      <c r="B441" s="21"/>
      <c r="C441" s="16"/>
      <c r="D441" s="16"/>
      <c r="E441" s="17"/>
      <c r="F441" s="22" t="str">
        <f aca="false">IF(D441="","",IFERROR(INDEX(Setup!$C$8:$C$37,MATCH(D441,Setup!$B$8:$B$37,0)),"Check category"))</f>
        <v/>
      </c>
      <c r="G441" s="23" t="str">
        <f aca="false">IF(B441="","",MONTH(B441))</f>
        <v/>
      </c>
      <c r="H441" s="23" t="str">
        <f aca="false">IF(B441="","",YEAR(B441))</f>
        <v/>
      </c>
    </row>
    <row r="442" customFormat="false" ht="15" hidden="false" customHeight="false" outlineLevel="0" collapsed="false">
      <c r="B442" s="21"/>
      <c r="C442" s="16"/>
      <c r="D442" s="16"/>
      <c r="E442" s="17"/>
      <c r="F442" s="22" t="str">
        <f aca="false">IF(D442="","",IFERROR(INDEX(Setup!$C$8:$C$37,MATCH(D442,Setup!$B$8:$B$37,0)),"Check category"))</f>
        <v/>
      </c>
      <c r="G442" s="23" t="str">
        <f aca="false">IF(B442="","",MONTH(B442))</f>
        <v/>
      </c>
      <c r="H442" s="23" t="str">
        <f aca="false">IF(B442="","",YEAR(B442))</f>
        <v/>
      </c>
    </row>
    <row r="443" customFormat="false" ht="15" hidden="false" customHeight="false" outlineLevel="0" collapsed="false">
      <c r="B443" s="21"/>
      <c r="C443" s="16"/>
      <c r="D443" s="16"/>
      <c r="E443" s="17"/>
      <c r="F443" s="22" t="str">
        <f aca="false">IF(D443="","",IFERROR(INDEX(Setup!$C$8:$C$37,MATCH(D443,Setup!$B$8:$B$37,0)),"Check category"))</f>
        <v/>
      </c>
      <c r="G443" s="23" t="str">
        <f aca="false">IF(B443="","",MONTH(B443))</f>
        <v/>
      </c>
      <c r="H443" s="23" t="str">
        <f aca="false">IF(B443="","",YEAR(B443))</f>
        <v/>
      </c>
    </row>
    <row r="444" customFormat="false" ht="15" hidden="false" customHeight="false" outlineLevel="0" collapsed="false">
      <c r="B444" s="21"/>
      <c r="C444" s="16"/>
      <c r="D444" s="16"/>
      <c r="E444" s="17"/>
      <c r="F444" s="22" t="str">
        <f aca="false">IF(D444="","",IFERROR(INDEX(Setup!$C$8:$C$37,MATCH(D444,Setup!$B$8:$B$37,0)),"Check category"))</f>
        <v/>
      </c>
      <c r="G444" s="23" t="str">
        <f aca="false">IF(B444="","",MONTH(B444))</f>
        <v/>
      </c>
      <c r="H444" s="23" t="str">
        <f aca="false">IF(B444="","",YEAR(B444))</f>
        <v/>
      </c>
    </row>
    <row r="445" customFormat="false" ht="15" hidden="false" customHeight="false" outlineLevel="0" collapsed="false">
      <c r="B445" s="21"/>
      <c r="C445" s="16"/>
      <c r="D445" s="16"/>
      <c r="E445" s="17"/>
      <c r="F445" s="22" t="str">
        <f aca="false">IF(D445="","",IFERROR(INDEX(Setup!$C$8:$C$37,MATCH(D445,Setup!$B$8:$B$37,0)),"Check category"))</f>
        <v/>
      </c>
      <c r="G445" s="23" t="str">
        <f aca="false">IF(B445="","",MONTH(B445))</f>
        <v/>
      </c>
      <c r="H445" s="23" t="str">
        <f aca="false">IF(B445="","",YEAR(B445))</f>
        <v/>
      </c>
    </row>
    <row r="446" customFormat="false" ht="15" hidden="false" customHeight="false" outlineLevel="0" collapsed="false">
      <c r="B446" s="21"/>
      <c r="C446" s="16"/>
      <c r="D446" s="16"/>
      <c r="E446" s="17"/>
      <c r="F446" s="22" t="str">
        <f aca="false">IF(D446="","",IFERROR(INDEX(Setup!$C$8:$C$37,MATCH(D446,Setup!$B$8:$B$37,0)),"Check category"))</f>
        <v/>
      </c>
      <c r="G446" s="23" t="str">
        <f aca="false">IF(B446="","",MONTH(B446))</f>
        <v/>
      </c>
      <c r="H446" s="23" t="str">
        <f aca="false">IF(B446="","",YEAR(B446))</f>
        <v/>
      </c>
    </row>
    <row r="447" customFormat="false" ht="15" hidden="false" customHeight="false" outlineLevel="0" collapsed="false">
      <c r="B447" s="21"/>
      <c r="C447" s="16"/>
      <c r="D447" s="16"/>
      <c r="E447" s="17"/>
      <c r="F447" s="22" t="str">
        <f aca="false">IF(D447="","",IFERROR(INDEX(Setup!$C$8:$C$37,MATCH(D447,Setup!$B$8:$B$37,0)),"Check category"))</f>
        <v/>
      </c>
      <c r="G447" s="23" t="str">
        <f aca="false">IF(B447="","",MONTH(B447))</f>
        <v/>
      </c>
      <c r="H447" s="23" t="str">
        <f aca="false">IF(B447="","",YEAR(B447))</f>
        <v/>
      </c>
    </row>
    <row r="448" customFormat="false" ht="15" hidden="false" customHeight="false" outlineLevel="0" collapsed="false">
      <c r="B448" s="21"/>
      <c r="C448" s="16"/>
      <c r="D448" s="16"/>
      <c r="E448" s="17"/>
      <c r="F448" s="22" t="str">
        <f aca="false">IF(D448="","",IFERROR(INDEX(Setup!$C$8:$C$37,MATCH(D448,Setup!$B$8:$B$37,0)),"Check category"))</f>
        <v/>
      </c>
      <c r="G448" s="23" t="str">
        <f aca="false">IF(B448="","",MONTH(B448))</f>
        <v/>
      </c>
      <c r="H448" s="23" t="str">
        <f aca="false">IF(B448="","",YEAR(B448))</f>
        <v/>
      </c>
    </row>
    <row r="449" customFormat="false" ht="15" hidden="false" customHeight="false" outlineLevel="0" collapsed="false">
      <c r="B449" s="21"/>
      <c r="C449" s="16"/>
      <c r="D449" s="16"/>
      <c r="E449" s="17"/>
      <c r="F449" s="22" t="str">
        <f aca="false">IF(D449="","",IFERROR(INDEX(Setup!$C$8:$C$37,MATCH(D449,Setup!$B$8:$B$37,0)),"Check category"))</f>
        <v/>
      </c>
      <c r="G449" s="23" t="str">
        <f aca="false">IF(B449="","",MONTH(B449))</f>
        <v/>
      </c>
      <c r="H449" s="23" t="str">
        <f aca="false">IF(B449="","",YEAR(B449))</f>
        <v/>
      </c>
    </row>
    <row r="450" customFormat="false" ht="15" hidden="false" customHeight="false" outlineLevel="0" collapsed="false">
      <c r="B450" s="21"/>
      <c r="C450" s="16"/>
      <c r="D450" s="16"/>
      <c r="E450" s="17"/>
      <c r="F450" s="22" t="str">
        <f aca="false">IF(D450="","",IFERROR(INDEX(Setup!$C$8:$C$37,MATCH(D450,Setup!$B$8:$B$37,0)),"Check category"))</f>
        <v/>
      </c>
      <c r="G450" s="23" t="str">
        <f aca="false">IF(B450="","",MONTH(B450))</f>
        <v/>
      </c>
      <c r="H450" s="23" t="str">
        <f aca="false">IF(B450="","",YEAR(B450))</f>
        <v/>
      </c>
    </row>
    <row r="451" customFormat="false" ht="15" hidden="false" customHeight="false" outlineLevel="0" collapsed="false">
      <c r="B451" s="21"/>
      <c r="C451" s="16"/>
      <c r="D451" s="16"/>
      <c r="E451" s="17"/>
      <c r="F451" s="22" t="str">
        <f aca="false">IF(D451="","",IFERROR(INDEX(Setup!$C$8:$C$37,MATCH(D451,Setup!$B$8:$B$37,0)),"Check category"))</f>
        <v/>
      </c>
      <c r="G451" s="23" t="str">
        <f aca="false">IF(B451="","",MONTH(B451))</f>
        <v/>
      </c>
      <c r="H451" s="23" t="str">
        <f aca="false">IF(B451="","",YEAR(B451))</f>
        <v/>
      </c>
    </row>
    <row r="452" customFormat="false" ht="15" hidden="false" customHeight="false" outlineLevel="0" collapsed="false">
      <c r="B452" s="21"/>
      <c r="C452" s="16"/>
      <c r="D452" s="16"/>
      <c r="E452" s="17"/>
      <c r="F452" s="22" t="str">
        <f aca="false">IF(D452="","",IFERROR(INDEX(Setup!$C$8:$C$37,MATCH(D452,Setup!$B$8:$B$37,0)),"Check category"))</f>
        <v/>
      </c>
      <c r="G452" s="23" t="str">
        <f aca="false">IF(B452="","",MONTH(B452))</f>
        <v/>
      </c>
      <c r="H452" s="23" t="str">
        <f aca="false">IF(B452="","",YEAR(B452))</f>
        <v/>
      </c>
    </row>
    <row r="453" customFormat="false" ht="15" hidden="false" customHeight="false" outlineLevel="0" collapsed="false">
      <c r="B453" s="21"/>
      <c r="C453" s="16"/>
      <c r="D453" s="16"/>
      <c r="E453" s="17"/>
      <c r="F453" s="22" t="str">
        <f aca="false">IF(D453="","",IFERROR(INDEX(Setup!$C$8:$C$37,MATCH(D453,Setup!$B$8:$B$37,0)),"Check category"))</f>
        <v/>
      </c>
      <c r="G453" s="23" t="str">
        <f aca="false">IF(B453="","",MONTH(B453))</f>
        <v/>
      </c>
      <c r="H453" s="23" t="str">
        <f aca="false">IF(B453="","",YEAR(B453))</f>
        <v/>
      </c>
    </row>
    <row r="454" customFormat="false" ht="15" hidden="false" customHeight="false" outlineLevel="0" collapsed="false">
      <c r="B454" s="21"/>
      <c r="C454" s="16"/>
      <c r="D454" s="16"/>
      <c r="E454" s="17"/>
      <c r="F454" s="22" t="str">
        <f aca="false">IF(D454="","",IFERROR(INDEX(Setup!$C$8:$C$37,MATCH(D454,Setup!$B$8:$B$37,0)),"Check category"))</f>
        <v/>
      </c>
      <c r="G454" s="23" t="str">
        <f aca="false">IF(B454="","",MONTH(B454))</f>
        <v/>
      </c>
      <c r="H454" s="23" t="str">
        <f aca="false">IF(B454="","",YEAR(B454))</f>
        <v/>
      </c>
    </row>
    <row r="455" customFormat="false" ht="15" hidden="false" customHeight="false" outlineLevel="0" collapsed="false">
      <c r="B455" s="21"/>
      <c r="C455" s="16"/>
      <c r="D455" s="16"/>
      <c r="E455" s="17"/>
      <c r="F455" s="22" t="str">
        <f aca="false">IF(D455="","",IFERROR(INDEX(Setup!$C$8:$C$37,MATCH(D455,Setup!$B$8:$B$37,0)),"Check category"))</f>
        <v/>
      </c>
      <c r="G455" s="23" t="str">
        <f aca="false">IF(B455="","",MONTH(B455))</f>
        <v/>
      </c>
      <c r="H455" s="23" t="str">
        <f aca="false">IF(B455="","",YEAR(B455))</f>
        <v/>
      </c>
    </row>
    <row r="456" customFormat="false" ht="15" hidden="false" customHeight="false" outlineLevel="0" collapsed="false">
      <c r="B456" s="21"/>
      <c r="C456" s="16"/>
      <c r="D456" s="16"/>
      <c r="E456" s="17"/>
      <c r="F456" s="22" t="str">
        <f aca="false">IF(D456="","",IFERROR(INDEX(Setup!$C$8:$C$37,MATCH(D456,Setup!$B$8:$B$37,0)),"Check category"))</f>
        <v/>
      </c>
      <c r="G456" s="23" t="str">
        <f aca="false">IF(B456="","",MONTH(B456))</f>
        <v/>
      </c>
      <c r="H456" s="23" t="str">
        <f aca="false">IF(B456="","",YEAR(B456))</f>
        <v/>
      </c>
    </row>
    <row r="457" customFormat="false" ht="15" hidden="false" customHeight="false" outlineLevel="0" collapsed="false">
      <c r="B457" s="21"/>
      <c r="C457" s="16"/>
      <c r="D457" s="16"/>
      <c r="E457" s="17"/>
      <c r="F457" s="22" t="str">
        <f aca="false">IF(D457="","",IFERROR(INDEX(Setup!$C$8:$C$37,MATCH(D457,Setup!$B$8:$B$37,0)),"Check category"))</f>
        <v/>
      </c>
      <c r="G457" s="23" t="str">
        <f aca="false">IF(B457="","",MONTH(B457))</f>
        <v/>
      </c>
      <c r="H457" s="23" t="str">
        <f aca="false">IF(B457="","",YEAR(B457))</f>
        <v/>
      </c>
    </row>
    <row r="458" customFormat="false" ht="15" hidden="false" customHeight="false" outlineLevel="0" collapsed="false">
      <c r="B458" s="21"/>
      <c r="C458" s="16"/>
      <c r="D458" s="16"/>
      <c r="E458" s="17"/>
      <c r="F458" s="22" t="str">
        <f aca="false">IF(D458="","",IFERROR(INDEX(Setup!$C$8:$C$37,MATCH(D458,Setup!$B$8:$B$37,0)),"Check category"))</f>
        <v/>
      </c>
      <c r="G458" s="23" t="str">
        <f aca="false">IF(B458="","",MONTH(B458))</f>
        <v/>
      </c>
      <c r="H458" s="23" t="str">
        <f aca="false">IF(B458="","",YEAR(B458))</f>
        <v/>
      </c>
    </row>
    <row r="459" customFormat="false" ht="15" hidden="false" customHeight="false" outlineLevel="0" collapsed="false">
      <c r="B459" s="21"/>
      <c r="C459" s="16"/>
      <c r="D459" s="16"/>
      <c r="E459" s="17"/>
      <c r="F459" s="22" t="str">
        <f aca="false">IF(D459="","",IFERROR(INDEX(Setup!$C$8:$C$37,MATCH(D459,Setup!$B$8:$B$37,0)),"Check category"))</f>
        <v/>
      </c>
      <c r="G459" s="23" t="str">
        <f aca="false">IF(B459="","",MONTH(B459))</f>
        <v/>
      </c>
      <c r="H459" s="23" t="str">
        <f aca="false">IF(B459="","",YEAR(B459))</f>
        <v/>
      </c>
    </row>
    <row r="460" customFormat="false" ht="15" hidden="false" customHeight="false" outlineLevel="0" collapsed="false">
      <c r="B460" s="21"/>
      <c r="C460" s="16"/>
      <c r="D460" s="16"/>
      <c r="E460" s="17"/>
      <c r="F460" s="22" t="str">
        <f aca="false">IF(D460="","",IFERROR(INDEX(Setup!$C$8:$C$37,MATCH(D460,Setup!$B$8:$B$37,0)),"Check category"))</f>
        <v/>
      </c>
      <c r="G460" s="23" t="str">
        <f aca="false">IF(B460="","",MONTH(B460))</f>
        <v/>
      </c>
      <c r="H460" s="23" t="str">
        <f aca="false">IF(B460="","",YEAR(B460))</f>
        <v/>
      </c>
    </row>
    <row r="461" customFormat="false" ht="15" hidden="false" customHeight="false" outlineLevel="0" collapsed="false">
      <c r="B461" s="21"/>
      <c r="C461" s="16"/>
      <c r="D461" s="16"/>
      <c r="E461" s="17"/>
      <c r="F461" s="22" t="str">
        <f aca="false">IF(D461="","",IFERROR(INDEX(Setup!$C$8:$C$37,MATCH(D461,Setup!$B$8:$B$37,0)),"Check category"))</f>
        <v/>
      </c>
      <c r="G461" s="23" t="str">
        <f aca="false">IF(B461="","",MONTH(B461))</f>
        <v/>
      </c>
      <c r="H461" s="23" t="str">
        <f aca="false">IF(B461="","",YEAR(B461))</f>
        <v/>
      </c>
    </row>
    <row r="462" customFormat="false" ht="15" hidden="false" customHeight="false" outlineLevel="0" collapsed="false">
      <c r="B462" s="21"/>
      <c r="C462" s="16"/>
      <c r="D462" s="16"/>
      <c r="E462" s="17"/>
      <c r="F462" s="22" t="str">
        <f aca="false">IF(D462="","",IFERROR(INDEX(Setup!$C$8:$C$37,MATCH(D462,Setup!$B$8:$B$37,0)),"Check category"))</f>
        <v/>
      </c>
      <c r="G462" s="23" t="str">
        <f aca="false">IF(B462="","",MONTH(B462))</f>
        <v/>
      </c>
      <c r="H462" s="23" t="str">
        <f aca="false">IF(B462="","",YEAR(B462))</f>
        <v/>
      </c>
    </row>
    <row r="463" customFormat="false" ht="15" hidden="false" customHeight="false" outlineLevel="0" collapsed="false">
      <c r="B463" s="21"/>
      <c r="C463" s="16"/>
      <c r="D463" s="16"/>
      <c r="E463" s="17"/>
      <c r="F463" s="22" t="str">
        <f aca="false">IF(D463="","",IFERROR(INDEX(Setup!$C$8:$C$37,MATCH(D463,Setup!$B$8:$B$37,0)),"Check category"))</f>
        <v/>
      </c>
      <c r="G463" s="23" t="str">
        <f aca="false">IF(B463="","",MONTH(B463))</f>
        <v/>
      </c>
      <c r="H463" s="23" t="str">
        <f aca="false">IF(B463="","",YEAR(B463))</f>
        <v/>
      </c>
    </row>
    <row r="464" customFormat="false" ht="15" hidden="false" customHeight="false" outlineLevel="0" collapsed="false">
      <c r="B464" s="21"/>
      <c r="C464" s="16"/>
      <c r="D464" s="16"/>
      <c r="E464" s="17"/>
      <c r="F464" s="22" t="str">
        <f aca="false">IF(D464="","",IFERROR(INDEX(Setup!$C$8:$C$37,MATCH(D464,Setup!$B$8:$B$37,0)),"Check category"))</f>
        <v/>
      </c>
      <c r="G464" s="23" t="str">
        <f aca="false">IF(B464="","",MONTH(B464))</f>
        <v/>
      </c>
      <c r="H464" s="23" t="str">
        <f aca="false">IF(B464="","",YEAR(B464))</f>
        <v/>
      </c>
    </row>
    <row r="465" customFormat="false" ht="15" hidden="false" customHeight="false" outlineLevel="0" collapsed="false">
      <c r="B465" s="21"/>
      <c r="C465" s="16"/>
      <c r="D465" s="16"/>
      <c r="E465" s="17"/>
      <c r="F465" s="22" t="str">
        <f aca="false">IF(D465="","",IFERROR(INDEX(Setup!$C$8:$C$37,MATCH(D465,Setup!$B$8:$B$37,0)),"Check category"))</f>
        <v/>
      </c>
      <c r="G465" s="23" t="str">
        <f aca="false">IF(B465="","",MONTH(B465))</f>
        <v/>
      </c>
      <c r="H465" s="23" t="str">
        <f aca="false">IF(B465="","",YEAR(B465))</f>
        <v/>
      </c>
    </row>
    <row r="466" customFormat="false" ht="15" hidden="false" customHeight="false" outlineLevel="0" collapsed="false">
      <c r="B466" s="21"/>
      <c r="C466" s="16"/>
      <c r="D466" s="16"/>
      <c r="E466" s="17"/>
      <c r="F466" s="22" t="str">
        <f aca="false">IF(D466="","",IFERROR(INDEX(Setup!$C$8:$C$37,MATCH(D466,Setup!$B$8:$B$37,0)),"Check category"))</f>
        <v/>
      </c>
      <c r="G466" s="23" t="str">
        <f aca="false">IF(B466="","",MONTH(B466))</f>
        <v/>
      </c>
      <c r="H466" s="23" t="str">
        <f aca="false">IF(B466="","",YEAR(B466))</f>
        <v/>
      </c>
    </row>
    <row r="467" customFormat="false" ht="15" hidden="false" customHeight="false" outlineLevel="0" collapsed="false">
      <c r="B467" s="21"/>
      <c r="C467" s="16"/>
      <c r="D467" s="16"/>
      <c r="E467" s="17"/>
      <c r="F467" s="22" t="str">
        <f aca="false">IF(D467="","",IFERROR(INDEX(Setup!$C$8:$C$37,MATCH(D467,Setup!$B$8:$B$37,0)),"Check category"))</f>
        <v/>
      </c>
      <c r="G467" s="23" t="str">
        <f aca="false">IF(B467="","",MONTH(B467))</f>
        <v/>
      </c>
      <c r="H467" s="23" t="str">
        <f aca="false">IF(B467="","",YEAR(B467))</f>
        <v/>
      </c>
    </row>
    <row r="468" customFormat="false" ht="15" hidden="false" customHeight="false" outlineLevel="0" collapsed="false">
      <c r="B468" s="21"/>
      <c r="C468" s="16"/>
      <c r="D468" s="16"/>
      <c r="E468" s="17"/>
      <c r="F468" s="22" t="str">
        <f aca="false">IF(D468="","",IFERROR(INDEX(Setup!$C$8:$C$37,MATCH(D468,Setup!$B$8:$B$37,0)),"Check category"))</f>
        <v/>
      </c>
      <c r="G468" s="23" t="str">
        <f aca="false">IF(B468="","",MONTH(B468))</f>
        <v/>
      </c>
      <c r="H468" s="23" t="str">
        <f aca="false">IF(B468="","",YEAR(B468))</f>
        <v/>
      </c>
    </row>
    <row r="469" customFormat="false" ht="15" hidden="false" customHeight="false" outlineLevel="0" collapsed="false">
      <c r="B469" s="21"/>
      <c r="C469" s="16"/>
      <c r="D469" s="16"/>
      <c r="E469" s="17"/>
      <c r="F469" s="22" t="str">
        <f aca="false">IF(D469="","",IFERROR(INDEX(Setup!$C$8:$C$37,MATCH(D469,Setup!$B$8:$B$37,0)),"Check category"))</f>
        <v/>
      </c>
      <c r="G469" s="23" t="str">
        <f aca="false">IF(B469="","",MONTH(B469))</f>
        <v/>
      </c>
      <c r="H469" s="23" t="str">
        <f aca="false">IF(B469="","",YEAR(B469))</f>
        <v/>
      </c>
    </row>
    <row r="470" customFormat="false" ht="15" hidden="false" customHeight="false" outlineLevel="0" collapsed="false">
      <c r="B470" s="21"/>
      <c r="C470" s="16"/>
      <c r="D470" s="16"/>
      <c r="E470" s="17"/>
      <c r="F470" s="22" t="str">
        <f aca="false">IF(D470="","",IFERROR(INDEX(Setup!$C$8:$C$37,MATCH(D470,Setup!$B$8:$B$37,0)),"Check category"))</f>
        <v/>
      </c>
      <c r="G470" s="23" t="str">
        <f aca="false">IF(B470="","",MONTH(B470))</f>
        <v/>
      </c>
      <c r="H470" s="23" t="str">
        <f aca="false">IF(B470="","",YEAR(B470))</f>
        <v/>
      </c>
    </row>
    <row r="471" customFormat="false" ht="15" hidden="false" customHeight="false" outlineLevel="0" collapsed="false">
      <c r="B471" s="21"/>
      <c r="C471" s="16"/>
      <c r="D471" s="16"/>
      <c r="E471" s="17"/>
      <c r="F471" s="22" t="str">
        <f aca="false">IF(D471="","",IFERROR(INDEX(Setup!$C$8:$C$37,MATCH(D471,Setup!$B$8:$B$37,0)),"Check category"))</f>
        <v/>
      </c>
      <c r="G471" s="23" t="str">
        <f aca="false">IF(B471="","",MONTH(B471))</f>
        <v/>
      </c>
      <c r="H471" s="23" t="str">
        <f aca="false">IF(B471="","",YEAR(B471))</f>
        <v/>
      </c>
    </row>
    <row r="472" customFormat="false" ht="15" hidden="false" customHeight="false" outlineLevel="0" collapsed="false">
      <c r="B472" s="21"/>
      <c r="C472" s="16"/>
      <c r="D472" s="16"/>
      <c r="E472" s="17"/>
      <c r="F472" s="22" t="str">
        <f aca="false">IF(D472="","",IFERROR(INDEX(Setup!$C$8:$C$37,MATCH(D472,Setup!$B$8:$B$37,0)),"Check category"))</f>
        <v/>
      </c>
      <c r="G472" s="23" t="str">
        <f aca="false">IF(B472="","",MONTH(B472))</f>
        <v/>
      </c>
      <c r="H472" s="23" t="str">
        <f aca="false">IF(B472="","",YEAR(B472))</f>
        <v/>
      </c>
    </row>
    <row r="473" customFormat="false" ht="15" hidden="false" customHeight="false" outlineLevel="0" collapsed="false">
      <c r="B473" s="21"/>
      <c r="C473" s="16"/>
      <c r="D473" s="16"/>
      <c r="E473" s="17"/>
      <c r="F473" s="22" t="str">
        <f aca="false">IF(D473="","",IFERROR(INDEX(Setup!$C$8:$C$37,MATCH(D473,Setup!$B$8:$B$37,0)),"Check category"))</f>
        <v/>
      </c>
      <c r="G473" s="23" t="str">
        <f aca="false">IF(B473="","",MONTH(B473))</f>
        <v/>
      </c>
      <c r="H473" s="23" t="str">
        <f aca="false">IF(B473="","",YEAR(B473))</f>
        <v/>
      </c>
    </row>
    <row r="474" customFormat="false" ht="15" hidden="false" customHeight="false" outlineLevel="0" collapsed="false">
      <c r="B474" s="21"/>
      <c r="C474" s="16"/>
      <c r="D474" s="16"/>
      <c r="E474" s="17"/>
      <c r="F474" s="22" t="str">
        <f aca="false">IF(D474="","",IFERROR(INDEX(Setup!$C$8:$C$37,MATCH(D474,Setup!$B$8:$B$37,0)),"Check category"))</f>
        <v/>
      </c>
      <c r="G474" s="23" t="str">
        <f aca="false">IF(B474="","",MONTH(B474))</f>
        <v/>
      </c>
      <c r="H474" s="23" t="str">
        <f aca="false">IF(B474="","",YEAR(B474))</f>
        <v/>
      </c>
    </row>
    <row r="475" customFormat="false" ht="15" hidden="false" customHeight="false" outlineLevel="0" collapsed="false">
      <c r="B475" s="21"/>
      <c r="C475" s="16"/>
      <c r="D475" s="16"/>
      <c r="E475" s="17"/>
      <c r="F475" s="22" t="str">
        <f aca="false">IF(D475="","",IFERROR(INDEX(Setup!$C$8:$C$37,MATCH(D475,Setup!$B$8:$B$37,0)),"Check category"))</f>
        <v/>
      </c>
      <c r="G475" s="23" t="str">
        <f aca="false">IF(B475="","",MONTH(B475))</f>
        <v/>
      </c>
      <c r="H475" s="23" t="str">
        <f aca="false">IF(B475="","",YEAR(B475))</f>
        <v/>
      </c>
    </row>
    <row r="476" customFormat="false" ht="15" hidden="false" customHeight="false" outlineLevel="0" collapsed="false">
      <c r="B476" s="21"/>
      <c r="C476" s="16"/>
      <c r="D476" s="16"/>
      <c r="E476" s="17"/>
      <c r="F476" s="22" t="str">
        <f aca="false">IF(D476="","",IFERROR(INDEX(Setup!$C$8:$C$37,MATCH(D476,Setup!$B$8:$B$37,0)),"Check category"))</f>
        <v/>
      </c>
      <c r="G476" s="23" t="str">
        <f aca="false">IF(B476="","",MONTH(B476))</f>
        <v/>
      </c>
      <c r="H476" s="23" t="str">
        <f aca="false">IF(B476="","",YEAR(B476))</f>
        <v/>
      </c>
    </row>
    <row r="477" customFormat="false" ht="15" hidden="false" customHeight="false" outlineLevel="0" collapsed="false">
      <c r="B477" s="21"/>
      <c r="C477" s="16"/>
      <c r="D477" s="16"/>
      <c r="E477" s="17"/>
      <c r="F477" s="22" t="str">
        <f aca="false">IF(D477="","",IFERROR(INDEX(Setup!$C$8:$C$37,MATCH(D477,Setup!$B$8:$B$37,0)),"Check category"))</f>
        <v/>
      </c>
      <c r="G477" s="23" t="str">
        <f aca="false">IF(B477="","",MONTH(B477))</f>
        <v/>
      </c>
      <c r="H477" s="23" t="str">
        <f aca="false">IF(B477="","",YEAR(B477))</f>
        <v/>
      </c>
    </row>
    <row r="478" customFormat="false" ht="15" hidden="false" customHeight="false" outlineLevel="0" collapsed="false">
      <c r="B478" s="21"/>
      <c r="C478" s="16"/>
      <c r="D478" s="16"/>
      <c r="E478" s="17"/>
      <c r="F478" s="22" t="str">
        <f aca="false">IF(D478="","",IFERROR(INDEX(Setup!$C$8:$C$37,MATCH(D478,Setup!$B$8:$B$37,0)),"Check category"))</f>
        <v/>
      </c>
      <c r="G478" s="23" t="str">
        <f aca="false">IF(B478="","",MONTH(B478))</f>
        <v/>
      </c>
      <c r="H478" s="23" t="str">
        <f aca="false">IF(B478="","",YEAR(B478))</f>
        <v/>
      </c>
    </row>
    <row r="479" customFormat="false" ht="15" hidden="false" customHeight="false" outlineLevel="0" collapsed="false">
      <c r="B479" s="21"/>
      <c r="C479" s="16"/>
      <c r="D479" s="16"/>
      <c r="E479" s="17"/>
      <c r="F479" s="22" t="str">
        <f aca="false">IF(D479="","",IFERROR(INDEX(Setup!$C$8:$C$37,MATCH(D479,Setup!$B$8:$B$37,0)),"Check category"))</f>
        <v/>
      </c>
      <c r="G479" s="23" t="str">
        <f aca="false">IF(B479="","",MONTH(B479))</f>
        <v/>
      </c>
      <c r="H479" s="23" t="str">
        <f aca="false">IF(B479="","",YEAR(B479))</f>
        <v/>
      </c>
    </row>
    <row r="480" customFormat="false" ht="15" hidden="false" customHeight="false" outlineLevel="0" collapsed="false">
      <c r="B480" s="21"/>
      <c r="C480" s="16"/>
      <c r="D480" s="16"/>
      <c r="E480" s="17"/>
      <c r="F480" s="22" t="str">
        <f aca="false">IF(D480="","",IFERROR(INDEX(Setup!$C$8:$C$37,MATCH(D480,Setup!$B$8:$B$37,0)),"Check category"))</f>
        <v/>
      </c>
      <c r="G480" s="23" t="str">
        <f aca="false">IF(B480="","",MONTH(B480))</f>
        <v/>
      </c>
      <c r="H480" s="23" t="str">
        <f aca="false">IF(B480="","",YEAR(B480))</f>
        <v/>
      </c>
    </row>
    <row r="481" customFormat="false" ht="15" hidden="false" customHeight="false" outlineLevel="0" collapsed="false">
      <c r="B481" s="21"/>
      <c r="C481" s="16"/>
      <c r="D481" s="16"/>
      <c r="E481" s="17"/>
      <c r="F481" s="22" t="str">
        <f aca="false">IF(D481="","",IFERROR(INDEX(Setup!$C$8:$C$37,MATCH(D481,Setup!$B$8:$B$37,0)),"Check category"))</f>
        <v/>
      </c>
      <c r="G481" s="23" t="str">
        <f aca="false">IF(B481="","",MONTH(B481))</f>
        <v/>
      </c>
      <c r="H481" s="23" t="str">
        <f aca="false">IF(B481="","",YEAR(B481))</f>
        <v/>
      </c>
    </row>
    <row r="482" customFormat="false" ht="15" hidden="false" customHeight="false" outlineLevel="0" collapsed="false">
      <c r="B482" s="21"/>
      <c r="C482" s="16"/>
      <c r="D482" s="16"/>
      <c r="E482" s="17"/>
      <c r="F482" s="22" t="str">
        <f aca="false">IF(D482="","",IFERROR(INDEX(Setup!$C$8:$C$37,MATCH(D482,Setup!$B$8:$B$37,0)),"Check category"))</f>
        <v/>
      </c>
      <c r="G482" s="23" t="str">
        <f aca="false">IF(B482="","",MONTH(B482))</f>
        <v/>
      </c>
      <c r="H482" s="23" t="str">
        <f aca="false">IF(B482="","",YEAR(B482))</f>
        <v/>
      </c>
    </row>
    <row r="483" customFormat="false" ht="15" hidden="false" customHeight="false" outlineLevel="0" collapsed="false">
      <c r="B483" s="21"/>
      <c r="C483" s="16"/>
      <c r="D483" s="16"/>
      <c r="E483" s="17"/>
      <c r="F483" s="22" t="str">
        <f aca="false">IF(D483="","",IFERROR(INDEX(Setup!$C$8:$C$37,MATCH(D483,Setup!$B$8:$B$37,0)),"Check category"))</f>
        <v/>
      </c>
      <c r="G483" s="23" t="str">
        <f aca="false">IF(B483="","",MONTH(B483))</f>
        <v/>
      </c>
      <c r="H483" s="23" t="str">
        <f aca="false">IF(B483="","",YEAR(B483))</f>
        <v/>
      </c>
    </row>
    <row r="484" customFormat="false" ht="15" hidden="false" customHeight="false" outlineLevel="0" collapsed="false">
      <c r="B484" s="21"/>
      <c r="C484" s="16"/>
      <c r="D484" s="16"/>
      <c r="E484" s="17"/>
      <c r="F484" s="22" t="str">
        <f aca="false">IF(D484="","",IFERROR(INDEX(Setup!$C$8:$C$37,MATCH(D484,Setup!$B$8:$B$37,0)),"Check category"))</f>
        <v/>
      </c>
      <c r="G484" s="23" t="str">
        <f aca="false">IF(B484="","",MONTH(B484))</f>
        <v/>
      </c>
      <c r="H484" s="23" t="str">
        <f aca="false">IF(B484="","",YEAR(B484))</f>
        <v/>
      </c>
    </row>
    <row r="485" customFormat="false" ht="15" hidden="false" customHeight="false" outlineLevel="0" collapsed="false">
      <c r="B485" s="21"/>
      <c r="C485" s="16"/>
      <c r="D485" s="16"/>
      <c r="E485" s="17"/>
      <c r="F485" s="22" t="str">
        <f aca="false">IF(D485="","",IFERROR(INDEX(Setup!$C$8:$C$37,MATCH(D485,Setup!$B$8:$B$37,0)),"Check category"))</f>
        <v/>
      </c>
      <c r="G485" s="23" t="str">
        <f aca="false">IF(B485="","",MONTH(B485))</f>
        <v/>
      </c>
      <c r="H485" s="23" t="str">
        <f aca="false">IF(B485="","",YEAR(B485))</f>
        <v/>
      </c>
    </row>
    <row r="486" customFormat="false" ht="15" hidden="false" customHeight="false" outlineLevel="0" collapsed="false">
      <c r="B486" s="21"/>
      <c r="C486" s="16"/>
      <c r="D486" s="16"/>
      <c r="E486" s="17"/>
      <c r="F486" s="22" t="str">
        <f aca="false">IF(D486="","",IFERROR(INDEX(Setup!$C$8:$C$37,MATCH(D486,Setup!$B$8:$B$37,0)),"Check category"))</f>
        <v/>
      </c>
      <c r="G486" s="23" t="str">
        <f aca="false">IF(B486="","",MONTH(B486))</f>
        <v/>
      </c>
      <c r="H486" s="23" t="str">
        <f aca="false">IF(B486="","",YEAR(B486))</f>
        <v/>
      </c>
    </row>
    <row r="487" customFormat="false" ht="15" hidden="false" customHeight="false" outlineLevel="0" collapsed="false">
      <c r="B487" s="21"/>
      <c r="C487" s="16"/>
      <c r="D487" s="16"/>
      <c r="E487" s="17"/>
      <c r="F487" s="22" t="str">
        <f aca="false">IF(D487="","",IFERROR(INDEX(Setup!$C$8:$C$37,MATCH(D487,Setup!$B$8:$B$37,0)),"Check category"))</f>
        <v/>
      </c>
      <c r="G487" s="23" t="str">
        <f aca="false">IF(B487="","",MONTH(B487))</f>
        <v/>
      </c>
      <c r="H487" s="23" t="str">
        <f aca="false">IF(B487="","",YEAR(B487))</f>
        <v/>
      </c>
    </row>
    <row r="488" customFormat="false" ht="15" hidden="false" customHeight="false" outlineLevel="0" collapsed="false">
      <c r="B488" s="21"/>
      <c r="C488" s="16"/>
      <c r="D488" s="16"/>
      <c r="E488" s="17"/>
      <c r="F488" s="22" t="str">
        <f aca="false">IF(D488="","",IFERROR(INDEX(Setup!$C$8:$C$37,MATCH(D488,Setup!$B$8:$B$37,0)),"Check category"))</f>
        <v/>
      </c>
      <c r="G488" s="23" t="str">
        <f aca="false">IF(B488="","",MONTH(B488))</f>
        <v/>
      </c>
      <c r="H488" s="23" t="str">
        <f aca="false">IF(B488="","",YEAR(B488))</f>
        <v/>
      </c>
    </row>
    <row r="489" customFormat="false" ht="15" hidden="false" customHeight="false" outlineLevel="0" collapsed="false">
      <c r="B489" s="21"/>
      <c r="C489" s="16"/>
      <c r="D489" s="16"/>
      <c r="E489" s="17"/>
      <c r="F489" s="22" t="str">
        <f aca="false">IF(D489="","",IFERROR(INDEX(Setup!$C$8:$C$37,MATCH(D489,Setup!$B$8:$B$37,0)),"Check category"))</f>
        <v/>
      </c>
      <c r="G489" s="23" t="str">
        <f aca="false">IF(B489="","",MONTH(B489))</f>
        <v/>
      </c>
      <c r="H489" s="23" t="str">
        <f aca="false">IF(B489="","",YEAR(B489))</f>
        <v/>
      </c>
    </row>
    <row r="490" customFormat="false" ht="15" hidden="false" customHeight="false" outlineLevel="0" collapsed="false">
      <c r="B490" s="21"/>
      <c r="C490" s="16"/>
      <c r="D490" s="16"/>
      <c r="E490" s="17"/>
      <c r="F490" s="22" t="str">
        <f aca="false">IF(D490="","",IFERROR(INDEX(Setup!$C$8:$C$37,MATCH(D490,Setup!$B$8:$B$37,0)),"Check category"))</f>
        <v/>
      </c>
      <c r="G490" s="23" t="str">
        <f aca="false">IF(B490="","",MONTH(B490))</f>
        <v/>
      </c>
      <c r="H490" s="23" t="str">
        <f aca="false">IF(B490="","",YEAR(B490))</f>
        <v/>
      </c>
    </row>
    <row r="491" customFormat="false" ht="15" hidden="false" customHeight="false" outlineLevel="0" collapsed="false">
      <c r="B491" s="21"/>
      <c r="C491" s="16"/>
      <c r="D491" s="16"/>
      <c r="E491" s="17"/>
      <c r="F491" s="22" t="str">
        <f aca="false">IF(D491="","",IFERROR(INDEX(Setup!$C$8:$C$37,MATCH(D491,Setup!$B$8:$B$37,0)),"Check category"))</f>
        <v/>
      </c>
      <c r="G491" s="23" t="str">
        <f aca="false">IF(B491="","",MONTH(B491))</f>
        <v/>
      </c>
      <c r="H491" s="23" t="str">
        <f aca="false">IF(B491="","",YEAR(B491))</f>
        <v/>
      </c>
    </row>
    <row r="492" customFormat="false" ht="15" hidden="false" customHeight="false" outlineLevel="0" collapsed="false">
      <c r="B492" s="21"/>
      <c r="C492" s="16"/>
      <c r="D492" s="16"/>
      <c r="E492" s="17"/>
      <c r="F492" s="22" t="str">
        <f aca="false">IF(D492="","",IFERROR(INDEX(Setup!$C$8:$C$37,MATCH(D492,Setup!$B$8:$B$37,0)),"Check category"))</f>
        <v/>
      </c>
      <c r="G492" s="23" t="str">
        <f aca="false">IF(B492="","",MONTH(B492))</f>
        <v/>
      </c>
      <c r="H492" s="23" t="str">
        <f aca="false">IF(B492="","",YEAR(B492))</f>
        <v/>
      </c>
    </row>
    <row r="493" customFormat="false" ht="15" hidden="false" customHeight="false" outlineLevel="0" collapsed="false">
      <c r="B493" s="21"/>
      <c r="C493" s="16"/>
      <c r="D493" s="16"/>
      <c r="E493" s="17"/>
      <c r="F493" s="22" t="str">
        <f aca="false">IF(D493="","",IFERROR(INDEX(Setup!$C$8:$C$37,MATCH(D493,Setup!$B$8:$B$37,0)),"Check category"))</f>
        <v/>
      </c>
      <c r="G493" s="23" t="str">
        <f aca="false">IF(B493="","",MONTH(B493))</f>
        <v/>
      </c>
      <c r="H493" s="23" t="str">
        <f aca="false">IF(B493="","",YEAR(B493))</f>
        <v/>
      </c>
    </row>
    <row r="494" customFormat="false" ht="15" hidden="false" customHeight="false" outlineLevel="0" collapsed="false">
      <c r="B494" s="21"/>
      <c r="C494" s="16"/>
      <c r="D494" s="16"/>
      <c r="E494" s="17"/>
      <c r="F494" s="22" t="str">
        <f aca="false">IF(D494="","",IFERROR(INDEX(Setup!$C$8:$C$37,MATCH(D494,Setup!$B$8:$B$37,0)),"Check category"))</f>
        <v/>
      </c>
      <c r="G494" s="23" t="str">
        <f aca="false">IF(B494="","",MONTH(B494))</f>
        <v/>
      </c>
      <c r="H494" s="23" t="str">
        <f aca="false">IF(B494="","",YEAR(B494))</f>
        <v/>
      </c>
    </row>
    <row r="495" customFormat="false" ht="15" hidden="false" customHeight="false" outlineLevel="0" collapsed="false">
      <c r="B495" s="21"/>
      <c r="C495" s="16"/>
      <c r="D495" s="16"/>
      <c r="E495" s="17"/>
      <c r="F495" s="22" t="str">
        <f aca="false">IF(D495="","",IFERROR(INDEX(Setup!$C$8:$C$37,MATCH(D495,Setup!$B$8:$B$37,0)),"Check category"))</f>
        <v/>
      </c>
      <c r="G495" s="23" t="str">
        <f aca="false">IF(B495="","",MONTH(B495))</f>
        <v/>
      </c>
      <c r="H495" s="23" t="str">
        <f aca="false">IF(B495="","",YEAR(B495))</f>
        <v/>
      </c>
    </row>
    <row r="496" customFormat="false" ht="15" hidden="false" customHeight="false" outlineLevel="0" collapsed="false">
      <c r="B496" s="21"/>
      <c r="C496" s="16"/>
      <c r="D496" s="16"/>
      <c r="E496" s="17"/>
      <c r="F496" s="22" t="str">
        <f aca="false">IF(D496="","",IFERROR(INDEX(Setup!$C$8:$C$37,MATCH(D496,Setup!$B$8:$B$37,0)),"Check category"))</f>
        <v/>
      </c>
      <c r="G496" s="23" t="str">
        <f aca="false">IF(B496="","",MONTH(B496))</f>
        <v/>
      </c>
      <c r="H496" s="23" t="str">
        <f aca="false">IF(B496="","",YEAR(B496))</f>
        <v/>
      </c>
    </row>
    <row r="497" customFormat="false" ht="15" hidden="false" customHeight="false" outlineLevel="0" collapsed="false">
      <c r="B497" s="21"/>
      <c r="C497" s="16"/>
      <c r="D497" s="16"/>
      <c r="E497" s="17"/>
      <c r="F497" s="22" t="str">
        <f aca="false">IF(D497="","",IFERROR(INDEX(Setup!$C$8:$C$37,MATCH(D497,Setup!$B$8:$B$37,0)),"Check category"))</f>
        <v/>
      </c>
      <c r="G497" s="23" t="str">
        <f aca="false">IF(B497="","",MONTH(B497))</f>
        <v/>
      </c>
      <c r="H497" s="23" t="str">
        <f aca="false">IF(B497="","",YEAR(B497))</f>
        <v/>
      </c>
    </row>
    <row r="498" customFormat="false" ht="15" hidden="false" customHeight="false" outlineLevel="0" collapsed="false">
      <c r="B498" s="21"/>
      <c r="C498" s="16"/>
      <c r="D498" s="16"/>
      <c r="E498" s="17"/>
      <c r="F498" s="22" t="str">
        <f aca="false">IF(D498="","",IFERROR(INDEX(Setup!$C$8:$C$37,MATCH(D498,Setup!$B$8:$B$37,0)),"Check category"))</f>
        <v/>
      </c>
      <c r="G498" s="23" t="str">
        <f aca="false">IF(B498="","",MONTH(B498))</f>
        <v/>
      </c>
      <c r="H498" s="23" t="str">
        <f aca="false">IF(B498="","",YEAR(B498))</f>
        <v/>
      </c>
    </row>
    <row r="499" customFormat="false" ht="15" hidden="false" customHeight="false" outlineLevel="0" collapsed="false">
      <c r="B499" s="21"/>
      <c r="C499" s="16"/>
      <c r="D499" s="16"/>
      <c r="E499" s="17"/>
      <c r="F499" s="22" t="str">
        <f aca="false">IF(D499="","",IFERROR(INDEX(Setup!$C$8:$C$37,MATCH(D499,Setup!$B$8:$B$37,0)),"Check category"))</f>
        <v/>
      </c>
      <c r="G499" s="23" t="str">
        <f aca="false">IF(B499="","",MONTH(B499))</f>
        <v/>
      </c>
      <c r="H499" s="23" t="str">
        <f aca="false">IF(B499="","",YEAR(B499))</f>
        <v/>
      </c>
    </row>
    <row r="500" customFormat="false" ht="15" hidden="false" customHeight="false" outlineLevel="0" collapsed="false">
      <c r="B500" s="21"/>
      <c r="C500" s="16"/>
      <c r="D500" s="16"/>
      <c r="E500" s="17"/>
      <c r="F500" s="22" t="str">
        <f aca="false">IF(D500="","",IFERROR(INDEX(Setup!$C$8:$C$37,MATCH(D500,Setup!$B$8:$B$37,0)),"Check category"))</f>
        <v/>
      </c>
      <c r="G500" s="23" t="str">
        <f aca="false">IF(B500="","",MONTH(B500))</f>
        <v/>
      </c>
      <c r="H500" s="23" t="str">
        <f aca="false">IF(B500="","",YEAR(B500))</f>
        <v/>
      </c>
    </row>
    <row r="501" customFormat="false" ht="15" hidden="false" customHeight="false" outlineLevel="0" collapsed="false">
      <c r="B501" s="21"/>
      <c r="C501" s="16"/>
      <c r="D501" s="16"/>
      <c r="E501" s="17"/>
      <c r="F501" s="22" t="str">
        <f aca="false">IF(D501="","",IFERROR(INDEX(Setup!$C$8:$C$37,MATCH(D501,Setup!$B$8:$B$37,0)),"Check category"))</f>
        <v/>
      </c>
      <c r="G501" s="23" t="str">
        <f aca="false">IF(B501="","",MONTH(B501))</f>
        <v/>
      </c>
      <c r="H501" s="23" t="str">
        <f aca="false">IF(B501="","",YEAR(B501))</f>
        <v/>
      </c>
    </row>
    <row r="502" customFormat="false" ht="15" hidden="false" customHeight="false" outlineLevel="0" collapsed="false">
      <c r="B502" s="21"/>
      <c r="C502" s="16"/>
      <c r="D502" s="16"/>
      <c r="E502" s="17"/>
      <c r="F502" s="22" t="str">
        <f aca="false">IF(D502="","",IFERROR(INDEX(Setup!$C$8:$C$37,MATCH(D502,Setup!$B$8:$B$37,0)),"Check category"))</f>
        <v/>
      </c>
      <c r="G502" s="23" t="str">
        <f aca="false">IF(B502="","",MONTH(B502))</f>
        <v/>
      </c>
      <c r="H502" s="23" t="str">
        <f aca="false">IF(B502="","",YEAR(B502))</f>
        <v/>
      </c>
    </row>
    <row r="503" customFormat="false" ht="15" hidden="false" customHeight="false" outlineLevel="0" collapsed="false">
      <c r="B503" s="21"/>
      <c r="C503" s="16"/>
      <c r="D503" s="16"/>
      <c r="E503" s="17"/>
      <c r="F503" s="22" t="str">
        <f aca="false">IF(D503="","",IFERROR(INDEX(Setup!$C$8:$C$37,MATCH(D503,Setup!$B$8:$B$37,0)),"Check category"))</f>
        <v/>
      </c>
      <c r="G503" s="23" t="str">
        <f aca="false">IF(B503="","",MONTH(B503))</f>
        <v/>
      </c>
      <c r="H503" s="23" t="str">
        <f aca="false">IF(B503="","",YEAR(B503))</f>
        <v/>
      </c>
    </row>
    <row r="504" customFormat="false" ht="15" hidden="false" customHeight="false" outlineLevel="0" collapsed="false">
      <c r="B504" s="21"/>
      <c r="C504" s="16"/>
      <c r="D504" s="16"/>
      <c r="E504" s="17"/>
      <c r="F504" s="22" t="str">
        <f aca="false">IF(D504="","",IFERROR(INDEX(Setup!$C$8:$C$37,MATCH(D504,Setup!$B$8:$B$37,0)),"Check category"))</f>
        <v/>
      </c>
      <c r="G504" s="23" t="str">
        <f aca="false">IF(B504="","",MONTH(B504))</f>
        <v/>
      </c>
      <c r="H504" s="23" t="str">
        <f aca="false">IF(B504="","",YEAR(B504))</f>
        <v/>
      </c>
    </row>
    <row r="505" customFormat="false" ht="15" hidden="false" customHeight="false" outlineLevel="0" collapsed="false">
      <c r="B505" s="21"/>
      <c r="C505" s="16"/>
      <c r="D505" s="16"/>
      <c r="E505" s="17"/>
      <c r="F505" s="22" t="str">
        <f aca="false">IF(D505="","",IFERROR(INDEX(Setup!$C$8:$C$37,MATCH(D505,Setup!$B$8:$B$37,0)),"Check category"))</f>
        <v/>
      </c>
      <c r="G505" s="23" t="str">
        <f aca="false">IF(B505="","",MONTH(B505))</f>
        <v/>
      </c>
      <c r="H505" s="23" t="str">
        <f aca="false">IF(B505="","",YEAR(B505))</f>
        <v/>
      </c>
    </row>
    <row r="506" customFormat="false" ht="15" hidden="false" customHeight="false" outlineLevel="0" collapsed="false">
      <c r="B506" s="21"/>
      <c r="C506" s="16"/>
      <c r="D506" s="16"/>
      <c r="E506" s="17"/>
      <c r="F506" s="22" t="str">
        <f aca="false">IF(D506="","",IFERROR(INDEX(Setup!$C$8:$C$37,MATCH(D506,Setup!$B$8:$B$37,0)),"Check category"))</f>
        <v/>
      </c>
      <c r="G506" s="23" t="str">
        <f aca="false">IF(B506="","",MONTH(B506))</f>
        <v/>
      </c>
      <c r="H506" s="23" t="str">
        <f aca="false">IF(B506="","",YEAR(B506))</f>
        <v/>
      </c>
    </row>
    <row r="507" customFormat="false" ht="15" hidden="false" customHeight="false" outlineLevel="0" collapsed="false">
      <c r="B507" s="21"/>
      <c r="C507" s="16"/>
      <c r="D507" s="16"/>
      <c r="E507" s="17"/>
      <c r="F507" s="22" t="str">
        <f aca="false">IF(D507="","",IFERROR(INDEX(Setup!$C$8:$C$37,MATCH(D507,Setup!$B$8:$B$37,0)),"Check category"))</f>
        <v/>
      </c>
      <c r="G507" s="23" t="str">
        <f aca="false">IF(B507="","",MONTH(B507))</f>
        <v/>
      </c>
      <c r="H507" s="23" t="str">
        <f aca="false">IF(B507="","",YEAR(B507))</f>
        <v/>
      </c>
    </row>
    <row r="508" customFormat="false" ht="15" hidden="false" customHeight="false" outlineLevel="0" collapsed="false">
      <c r="B508" s="21"/>
      <c r="C508" s="16"/>
      <c r="D508" s="16"/>
      <c r="E508" s="17"/>
      <c r="F508" s="22" t="str">
        <f aca="false">IF(D508="","",IFERROR(INDEX(Setup!$C$8:$C$37,MATCH(D508,Setup!$B$8:$B$37,0)),"Check category"))</f>
        <v/>
      </c>
      <c r="G508" s="23" t="str">
        <f aca="false">IF(B508="","",MONTH(B508))</f>
        <v/>
      </c>
      <c r="H508" s="23" t="str">
        <f aca="false">IF(B508="","",YEAR(B508))</f>
        <v/>
      </c>
    </row>
    <row r="509" customFormat="false" ht="15" hidden="false" customHeight="false" outlineLevel="0" collapsed="false">
      <c r="B509" s="21"/>
      <c r="C509" s="16"/>
      <c r="D509" s="16"/>
      <c r="E509" s="17"/>
      <c r="F509" s="22" t="str">
        <f aca="false">IF(D509="","",IFERROR(INDEX(Setup!$C$8:$C$37,MATCH(D509,Setup!$B$8:$B$37,0)),"Check category"))</f>
        <v/>
      </c>
      <c r="G509" s="23" t="str">
        <f aca="false">IF(B509="","",MONTH(B509))</f>
        <v/>
      </c>
      <c r="H509" s="23" t="str">
        <f aca="false">IF(B509="","",YEAR(B509))</f>
        <v/>
      </c>
    </row>
    <row r="510" customFormat="false" ht="15" hidden="false" customHeight="false" outlineLevel="0" collapsed="false">
      <c r="B510" s="21"/>
      <c r="C510" s="16"/>
      <c r="D510" s="16"/>
      <c r="E510" s="17"/>
      <c r="F510" s="22" t="str">
        <f aca="false">IF(D510="","",IFERROR(INDEX(Setup!$C$8:$C$37,MATCH(D510,Setup!$B$8:$B$37,0)),"Check category"))</f>
        <v/>
      </c>
      <c r="G510" s="23" t="str">
        <f aca="false">IF(B510="","",MONTH(B510))</f>
        <v/>
      </c>
      <c r="H510" s="23" t="str">
        <f aca="false">IF(B510="","",YEAR(B510))</f>
        <v/>
      </c>
    </row>
    <row r="511" customFormat="false" ht="15" hidden="false" customHeight="false" outlineLevel="0" collapsed="false">
      <c r="B511" s="21"/>
      <c r="C511" s="16"/>
      <c r="D511" s="16"/>
      <c r="E511" s="17"/>
      <c r="F511" s="22" t="str">
        <f aca="false">IF(D511="","",IFERROR(INDEX(Setup!$C$8:$C$37,MATCH(D511,Setup!$B$8:$B$37,0)),"Check category"))</f>
        <v/>
      </c>
      <c r="G511" s="23" t="str">
        <f aca="false">IF(B511="","",MONTH(B511))</f>
        <v/>
      </c>
      <c r="H511" s="23" t="str">
        <f aca="false">IF(B511="","",YEAR(B511))</f>
        <v/>
      </c>
    </row>
    <row r="512" customFormat="false" ht="15" hidden="false" customHeight="false" outlineLevel="0" collapsed="false">
      <c r="B512" s="21"/>
      <c r="C512" s="16"/>
      <c r="D512" s="16"/>
      <c r="E512" s="17"/>
      <c r="F512" s="22" t="str">
        <f aca="false">IF(D512="","",IFERROR(INDEX(Setup!$C$8:$C$37,MATCH(D512,Setup!$B$8:$B$37,0)),"Check category"))</f>
        <v/>
      </c>
      <c r="G512" s="23" t="str">
        <f aca="false">IF(B512="","",MONTH(B512))</f>
        <v/>
      </c>
      <c r="H512" s="23" t="str">
        <f aca="false">IF(B512="","",YEAR(B512))</f>
        <v/>
      </c>
    </row>
    <row r="513" customFormat="false" ht="15" hidden="false" customHeight="false" outlineLevel="0" collapsed="false">
      <c r="B513" s="21"/>
      <c r="C513" s="16"/>
      <c r="D513" s="16"/>
      <c r="E513" s="17"/>
      <c r="F513" s="22" t="str">
        <f aca="false">IF(D513="","",IFERROR(INDEX(Setup!$C$8:$C$37,MATCH(D513,Setup!$B$8:$B$37,0)),"Check category"))</f>
        <v/>
      </c>
      <c r="G513" s="23" t="str">
        <f aca="false">IF(B513="","",MONTH(B513))</f>
        <v/>
      </c>
      <c r="H513" s="23" t="str">
        <f aca="false">IF(B513="","",YEAR(B513))</f>
        <v/>
      </c>
    </row>
    <row r="514" customFormat="false" ht="15" hidden="false" customHeight="false" outlineLevel="0" collapsed="false">
      <c r="B514" s="21"/>
      <c r="C514" s="16"/>
      <c r="D514" s="16"/>
      <c r="E514" s="17"/>
      <c r="F514" s="22" t="str">
        <f aca="false">IF(D514="","",IFERROR(INDEX(Setup!$C$8:$C$37,MATCH(D514,Setup!$B$8:$B$37,0)),"Check category"))</f>
        <v/>
      </c>
      <c r="G514" s="23" t="str">
        <f aca="false">IF(B514="","",MONTH(B514))</f>
        <v/>
      </c>
      <c r="H514" s="23" t="str">
        <f aca="false">IF(B514="","",YEAR(B514))</f>
        <v/>
      </c>
    </row>
    <row r="515" customFormat="false" ht="15" hidden="false" customHeight="false" outlineLevel="0" collapsed="false">
      <c r="B515" s="21"/>
      <c r="C515" s="16"/>
      <c r="D515" s="16"/>
      <c r="E515" s="17"/>
      <c r="F515" s="22" t="str">
        <f aca="false">IF(D515="","",IFERROR(INDEX(Setup!$C$8:$C$37,MATCH(D515,Setup!$B$8:$B$37,0)),"Check category"))</f>
        <v/>
      </c>
      <c r="G515" s="23" t="str">
        <f aca="false">IF(B515="","",MONTH(B515))</f>
        <v/>
      </c>
      <c r="H515" s="23" t="str">
        <f aca="false">IF(B515="","",YEAR(B515))</f>
        <v/>
      </c>
    </row>
    <row r="516" customFormat="false" ht="15" hidden="false" customHeight="false" outlineLevel="0" collapsed="false">
      <c r="B516" s="21"/>
      <c r="C516" s="16"/>
      <c r="D516" s="16"/>
      <c r="E516" s="17"/>
      <c r="F516" s="22" t="str">
        <f aca="false">IF(D516="","",IFERROR(INDEX(Setup!$C$8:$C$37,MATCH(D516,Setup!$B$8:$B$37,0)),"Check category"))</f>
        <v/>
      </c>
      <c r="G516" s="23" t="str">
        <f aca="false">IF(B516="","",MONTH(B516))</f>
        <v/>
      </c>
      <c r="H516" s="23" t="str">
        <f aca="false">IF(B516="","",YEAR(B516))</f>
        <v/>
      </c>
    </row>
    <row r="517" customFormat="false" ht="15" hidden="false" customHeight="false" outlineLevel="0" collapsed="false">
      <c r="B517" s="21"/>
      <c r="C517" s="16"/>
      <c r="D517" s="16"/>
      <c r="E517" s="17"/>
      <c r="F517" s="22" t="str">
        <f aca="false">IF(D517="","",IFERROR(INDEX(Setup!$C$8:$C$37,MATCH(D517,Setup!$B$8:$B$37,0)),"Check category"))</f>
        <v/>
      </c>
      <c r="G517" s="23" t="str">
        <f aca="false">IF(B517="","",MONTH(B517))</f>
        <v/>
      </c>
      <c r="H517" s="23" t="str">
        <f aca="false">IF(B517="","",YEAR(B517))</f>
        <v/>
      </c>
    </row>
    <row r="518" customFormat="false" ht="15" hidden="false" customHeight="false" outlineLevel="0" collapsed="false">
      <c r="B518" s="21"/>
      <c r="C518" s="16"/>
      <c r="D518" s="16"/>
      <c r="E518" s="17"/>
      <c r="F518" s="22" t="str">
        <f aca="false">IF(D518="","",IFERROR(INDEX(Setup!$C$8:$C$37,MATCH(D518,Setup!$B$8:$B$37,0)),"Check category"))</f>
        <v/>
      </c>
      <c r="G518" s="23" t="str">
        <f aca="false">IF(B518="","",MONTH(B518))</f>
        <v/>
      </c>
      <c r="H518" s="23" t="str">
        <f aca="false">IF(B518="","",YEAR(B518))</f>
        <v/>
      </c>
    </row>
    <row r="519" customFormat="false" ht="15" hidden="false" customHeight="false" outlineLevel="0" collapsed="false">
      <c r="B519" s="21"/>
      <c r="C519" s="16"/>
      <c r="D519" s="16"/>
      <c r="E519" s="17"/>
      <c r="F519" s="22" t="str">
        <f aca="false">IF(D519="","",IFERROR(INDEX(Setup!$C$8:$C$37,MATCH(D519,Setup!$B$8:$B$37,0)),"Check category"))</f>
        <v/>
      </c>
      <c r="G519" s="23" t="str">
        <f aca="false">IF(B519="","",MONTH(B519))</f>
        <v/>
      </c>
      <c r="H519" s="23" t="str">
        <f aca="false">IF(B519="","",YEAR(B519))</f>
        <v/>
      </c>
    </row>
    <row r="520" customFormat="false" ht="15" hidden="false" customHeight="false" outlineLevel="0" collapsed="false">
      <c r="B520" s="21"/>
      <c r="C520" s="16"/>
      <c r="D520" s="16"/>
      <c r="E520" s="17"/>
      <c r="F520" s="22" t="str">
        <f aca="false">IF(D520="","",IFERROR(INDEX(Setup!$C$8:$C$37,MATCH(D520,Setup!$B$8:$B$37,0)),"Check category"))</f>
        <v/>
      </c>
      <c r="G520" s="23" t="str">
        <f aca="false">IF(B520="","",MONTH(B520))</f>
        <v/>
      </c>
      <c r="H520" s="23" t="str">
        <f aca="false">IF(B520="","",YEAR(B520))</f>
        <v/>
      </c>
    </row>
    <row r="521" customFormat="false" ht="15" hidden="false" customHeight="false" outlineLevel="0" collapsed="false">
      <c r="B521" s="21"/>
      <c r="C521" s="16"/>
      <c r="D521" s="16"/>
      <c r="E521" s="17"/>
      <c r="F521" s="22" t="str">
        <f aca="false">IF(D521="","",IFERROR(INDEX(Setup!$C$8:$C$37,MATCH(D521,Setup!$B$8:$B$37,0)),"Check category"))</f>
        <v/>
      </c>
      <c r="G521" s="23" t="str">
        <f aca="false">IF(B521="","",MONTH(B521))</f>
        <v/>
      </c>
      <c r="H521" s="23" t="str">
        <f aca="false">IF(B521="","",YEAR(B521))</f>
        <v/>
      </c>
    </row>
    <row r="522" customFormat="false" ht="15" hidden="false" customHeight="false" outlineLevel="0" collapsed="false">
      <c r="B522" s="21"/>
      <c r="C522" s="16"/>
      <c r="D522" s="16"/>
      <c r="E522" s="17"/>
      <c r="F522" s="22" t="str">
        <f aca="false">IF(D522="","",IFERROR(INDEX(Setup!$C$8:$C$37,MATCH(D522,Setup!$B$8:$B$37,0)),"Check category"))</f>
        <v/>
      </c>
      <c r="G522" s="23" t="str">
        <f aca="false">IF(B522="","",MONTH(B522))</f>
        <v/>
      </c>
      <c r="H522" s="23" t="str">
        <f aca="false">IF(B522="","",YEAR(B522))</f>
        <v/>
      </c>
    </row>
    <row r="523" customFormat="false" ht="15" hidden="false" customHeight="false" outlineLevel="0" collapsed="false">
      <c r="B523" s="21"/>
      <c r="C523" s="16"/>
      <c r="D523" s="16"/>
      <c r="E523" s="17"/>
      <c r="F523" s="22" t="str">
        <f aca="false">IF(D523="","",IFERROR(INDEX(Setup!$C$8:$C$37,MATCH(D523,Setup!$B$8:$B$37,0)),"Check category"))</f>
        <v/>
      </c>
      <c r="G523" s="23" t="str">
        <f aca="false">IF(B523="","",MONTH(B523))</f>
        <v/>
      </c>
      <c r="H523" s="23" t="str">
        <f aca="false">IF(B523="","",YEAR(B523))</f>
        <v/>
      </c>
    </row>
    <row r="524" customFormat="false" ht="15" hidden="false" customHeight="false" outlineLevel="0" collapsed="false">
      <c r="B524" s="21"/>
      <c r="C524" s="16"/>
      <c r="D524" s="16"/>
      <c r="E524" s="17"/>
      <c r="F524" s="22" t="str">
        <f aca="false">IF(D524="","",IFERROR(INDEX(Setup!$C$8:$C$37,MATCH(D524,Setup!$B$8:$B$37,0)),"Check category"))</f>
        <v/>
      </c>
      <c r="G524" s="23" t="str">
        <f aca="false">IF(B524="","",MONTH(B524))</f>
        <v/>
      </c>
      <c r="H524" s="23" t="str">
        <f aca="false">IF(B524="","",YEAR(B524))</f>
        <v/>
      </c>
    </row>
    <row r="525" customFormat="false" ht="15" hidden="false" customHeight="false" outlineLevel="0" collapsed="false">
      <c r="B525" s="21"/>
      <c r="C525" s="16"/>
      <c r="D525" s="16"/>
      <c r="E525" s="17"/>
      <c r="F525" s="22" t="str">
        <f aca="false">IF(D525="","",IFERROR(INDEX(Setup!$C$8:$C$37,MATCH(D525,Setup!$B$8:$B$37,0)),"Check category"))</f>
        <v/>
      </c>
      <c r="G525" s="23" t="str">
        <f aca="false">IF(B525="","",MONTH(B525))</f>
        <v/>
      </c>
      <c r="H525" s="23" t="str">
        <f aca="false">IF(B525="","",YEAR(B525))</f>
        <v/>
      </c>
    </row>
    <row r="526" customFormat="false" ht="15" hidden="false" customHeight="false" outlineLevel="0" collapsed="false">
      <c r="B526" s="21"/>
      <c r="C526" s="16"/>
      <c r="D526" s="16"/>
      <c r="E526" s="17"/>
      <c r="F526" s="22" t="str">
        <f aca="false">IF(D526="","",IFERROR(INDEX(Setup!$C$8:$C$37,MATCH(D526,Setup!$B$8:$B$37,0)),"Check category"))</f>
        <v/>
      </c>
      <c r="G526" s="23" t="str">
        <f aca="false">IF(B526="","",MONTH(B526))</f>
        <v/>
      </c>
      <c r="H526" s="23" t="str">
        <f aca="false">IF(B526="","",YEAR(B526))</f>
        <v/>
      </c>
    </row>
    <row r="527" customFormat="false" ht="15" hidden="false" customHeight="false" outlineLevel="0" collapsed="false">
      <c r="B527" s="21"/>
      <c r="C527" s="16"/>
      <c r="D527" s="16"/>
      <c r="E527" s="17"/>
      <c r="F527" s="22" t="str">
        <f aca="false">IF(D527="","",IFERROR(INDEX(Setup!$C$8:$C$37,MATCH(D527,Setup!$B$8:$B$37,0)),"Check category"))</f>
        <v/>
      </c>
      <c r="G527" s="23" t="str">
        <f aca="false">IF(B527="","",MONTH(B527))</f>
        <v/>
      </c>
      <c r="H527" s="23" t="str">
        <f aca="false">IF(B527="","",YEAR(B527))</f>
        <v/>
      </c>
    </row>
    <row r="528" customFormat="false" ht="15" hidden="false" customHeight="false" outlineLevel="0" collapsed="false">
      <c r="B528" s="21"/>
      <c r="C528" s="16"/>
      <c r="D528" s="16"/>
      <c r="E528" s="17"/>
      <c r="F528" s="22" t="str">
        <f aca="false">IF(D528="","",IFERROR(INDEX(Setup!$C$8:$C$37,MATCH(D528,Setup!$B$8:$B$37,0)),"Check category"))</f>
        <v/>
      </c>
      <c r="G528" s="23" t="str">
        <f aca="false">IF(B528="","",MONTH(B528))</f>
        <v/>
      </c>
      <c r="H528" s="23" t="str">
        <f aca="false">IF(B528="","",YEAR(B528))</f>
        <v/>
      </c>
    </row>
    <row r="529" customFormat="false" ht="15" hidden="false" customHeight="false" outlineLevel="0" collapsed="false">
      <c r="B529" s="21"/>
      <c r="C529" s="16"/>
      <c r="D529" s="16"/>
      <c r="E529" s="17"/>
      <c r="F529" s="22" t="str">
        <f aca="false">IF(D529="","",IFERROR(INDEX(Setup!$C$8:$C$37,MATCH(D529,Setup!$B$8:$B$37,0)),"Check category"))</f>
        <v/>
      </c>
      <c r="G529" s="23" t="str">
        <f aca="false">IF(B529="","",MONTH(B529))</f>
        <v/>
      </c>
      <c r="H529" s="23" t="str">
        <f aca="false">IF(B529="","",YEAR(B529))</f>
        <v/>
      </c>
    </row>
    <row r="530" customFormat="false" ht="15" hidden="false" customHeight="false" outlineLevel="0" collapsed="false">
      <c r="B530" s="21"/>
      <c r="C530" s="16"/>
      <c r="D530" s="16"/>
      <c r="E530" s="17"/>
      <c r="F530" s="22" t="str">
        <f aca="false">IF(D530="","",IFERROR(INDEX(Setup!$C$8:$C$37,MATCH(D530,Setup!$B$8:$B$37,0)),"Check category"))</f>
        <v/>
      </c>
      <c r="G530" s="23" t="str">
        <f aca="false">IF(B530="","",MONTH(B530))</f>
        <v/>
      </c>
      <c r="H530" s="23" t="str">
        <f aca="false">IF(B530="","",YEAR(B530))</f>
        <v/>
      </c>
    </row>
    <row r="531" customFormat="false" ht="15" hidden="false" customHeight="false" outlineLevel="0" collapsed="false">
      <c r="B531" s="21"/>
      <c r="C531" s="16"/>
      <c r="D531" s="16"/>
      <c r="E531" s="17"/>
      <c r="F531" s="22" t="str">
        <f aca="false">IF(D531="","",IFERROR(INDEX(Setup!$C$8:$C$37,MATCH(D531,Setup!$B$8:$B$37,0)),"Check category"))</f>
        <v/>
      </c>
      <c r="G531" s="23" t="str">
        <f aca="false">IF(B531="","",MONTH(B531))</f>
        <v/>
      </c>
      <c r="H531" s="23" t="str">
        <f aca="false">IF(B531="","",YEAR(B531))</f>
        <v/>
      </c>
    </row>
    <row r="532" customFormat="false" ht="15" hidden="false" customHeight="false" outlineLevel="0" collapsed="false">
      <c r="B532" s="21"/>
      <c r="C532" s="16"/>
      <c r="D532" s="16"/>
      <c r="E532" s="17"/>
      <c r="F532" s="22" t="str">
        <f aca="false">IF(D532="","",IFERROR(INDEX(Setup!$C$8:$C$37,MATCH(D532,Setup!$B$8:$B$37,0)),"Check category"))</f>
        <v/>
      </c>
      <c r="G532" s="23" t="str">
        <f aca="false">IF(B532="","",MONTH(B532))</f>
        <v/>
      </c>
      <c r="H532" s="23" t="str">
        <f aca="false">IF(B532="","",YEAR(B532))</f>
        <v/>
      </c>
    </row>
    <row r="533" customFormat="false" ht="15" hidden="false" customHeight="false" outlineLevel="0" collapsed="false">
      <c r="B533" s="21"/>
      <c r="C533" s="16"/>
      <c r="D533" s="16"/>
      <c r="E533" s="17"/>
      <c r="F533" s="22" t="str">
        <f aca="false">IF(D533="","",IFERROR(INDEX(Setup!$C$8:$C$37,MATCH(D533,Setup!$B$8:$B$37,0)),"Check category"))</f>
        <v/>
      </c>
      <c r="G533" s="23" t="str">
        <f aca="false">IF(B533="","",MONTH(B533))</f>
        <v/>
      </c>
      <c r="H533" s="23" t="str">
        <f aca="false">IF(B533="","",YEAR(B533))</f>
        <v/>
      </c>
    </row>
    <row r="534" customFormat="false" ht="15" hidden="false" customHeight="false" outlineLevel="0" collapsed="false">
      <c r="B534" s="21"/>
      <c r="C534" s="16"/>
      <c r="D534" s="16"/>
      <c r="E534" s="17"/>
      <c r="F534" s="22" t="str">
        <f aca="false">IF(D534="","",IFERROR(INDEX(Setup!$C$8:$C$37,MATCH(D534,Setup!$B$8:$B$37,0)),"Check category"))</f>
        <v/>
      </c>
      <c r="G534" s="23" t="str">
        <f aca="false">IF(B534="","",MONTH(B534))</f>
        <v/>
      </c>
      <c r="H534" s="23" t="str">
        <f aca="false">IF(B534="","",YEAR(B534))</f>
        <v/>
      </c>
    </row>
    <row r="535" customFormat="false" ht="15" hidden="false" customHeight="false" outlineLevel="0" collapsed="false">
      <c r="B535" s="21"/>
      <c r="C535" s="16"/>
      <c r="D535" s="16"/>
      <c r="E535" s="17"/>
      <c r="F535" s="22" t="str">
        <f aca="false">IF(D535="","",IFERROR(INDEX(Setup!$C$8:$C$37,MATCH(D535,Setup!$B$8:$B$37,0)),"Check category"))</f>
        <v/>
      </c>
      <c r="G535" s="23" t="str">
        <f aca="false">IF(B535="","",MONTH(B535))</f>
        <v/>
      </c>
      <c r="H535" s="23" t="str">
        <f aca="false">IF(B535="","",YEAR(B535))</f>
        <v/>
      </c>
    </row>
    <row r="536" customFormat="false" ht="15" hidden="false" customHeight="false" outlineLevel="0" collapsed="false">
      <c r="B536" s="21"/>
      <c r="C536" s="16"/>
      <c r="D536" s="16"/>
      <c r="E536" s="17"/>
      <c r="F536" s="22" t="str">
        <f aca="false">IF(D536="","",IFERROR(INDEX(Setup!$C$8:$C$37,MATCH(D536,Setup!$B$8:$B$37,0)),"Check category"))</f>
        <v/>
      </c>
      <c r="G536" s="23" t="str">
        <f aca="false">IF(B536="","",MONTH(B536))</f>
        <v/>
      </c>
      <c r="H536" s="23" t="str">
        <f aca="false">IF(B536="","",YEAR(B536))</f>
        <v/>
      </c>
    </row>
    <row r="537" customFormat="false" ht="15" hidden="false" customHeight="false" outlineLevel="0" collapsed="false">
      <c r="B537" s="21"/>
      <c r="C537" s="16"/>
      <c r="D537" s="16"/>
      <c r="E537" s="17"/>
      <c r="F537" s="22" t="str">
        <f aca="false">IF(D537="","",IFERROR(INDEX(Setup!$C$8:$C$37,MATCH(D537,Setup!$B$8:$B$37,0)),"Check category"))</f>
        <v/>
      </c>
      <c r="G537" s="23" t="str">
        <f aca="false">IF(B537="","",MONTH(B537))</f>
        <v/>
      </c>
      <c r="H537" s="23" t="str">
        <f aca="false">IF(B537="","",YEAR(B537))</f>
        <v/>
      </c>
    </row>
    <row r="538" customFormat="false" ht="15" hidden="false" customHeight="false" outlineLevel="0" collapsed="false">
      <c r="B538" s="21"/>
      <c r="C538" s="16"/>
      <c r="D538" s="16"/>
      <c r="E538" s="17"/>
      <c r="F538" s="22" t="str">
        <f aca="false">IF(D538="","",IFERROR(INDEX(Setup!$C$8:$C$37,MATCH(D538,Setup!$B$8:$B$37,0)),"Check category"))</f>
        <v/>
      </c>
      <c r="G538" s="23" t="str">
        <f aca="false">IF(B538="","",MONTH(B538))</f>
        <v/>
      </c>
      <c r="H538" s="23" t="str">
        <f aca="false">IF(B538="","",YEAR(B538))</f>
        <v/>
      </c>
    </row>
    <row r="539" customFormat="false" ht="15" hidden="false" customHeight="false" outlineLevel="0" collapsed="false">
      <c r="B539" s="21"/>
      <c r="C539" s="16"/>
      <c r="D539" s="16"/>
      <c r="E539" s="17"/>
      <c r="F539" s="22" t="str">
        <f aca="false">IF(D539="","",IFERROR(INDEX(Setup!$C$8:$C$37,MATCH(D539,Setup!$B$8:$B$37,0)),"Check category"))</f>
        <v/>
      </c>
      <c r="G539" s="23" t="str">
        <f aca="false">IF(B539="","",MONTH(B539))</f>
        <v/>
      </c>
      <c r="H539" s="23" t="str">
        <f aca="false">IF(B539="","",YEAR(B539))</f>
        <v/>
      </c>
    </row>
    <row r="540" customFormat="false" ht="15" hidden="false" customHeight="false" outlineLevel="0" collapsed="false">
      <c r="B540" s="21"/>
      <c r="C540" s="16"/>
      <c r="D540" s="16"/>
      <c r="E540" s="17"/>
      <c r="F540" s="22" t="str">
        <f aca="false">IF(D540="","",IFERROR(INDEX(Setup!$C$8:$C$37,MATCH(D540,Setup!$B$8:$B$37,0)),"Check category"))</f>
        <v/>
      </c>
      <c r="G540" s="23" t="str">
        <f aca="false">IF(B540="","",MONTH(B540))</f>
        <v/>
      </c>
      <c r="H540" s="23" t="str">
        <f aca="false">IF(B540="","",YEAR(B540))</f>
        <v/>
      </c>
    </row>
    <row r="541" customFormat="false" ht="15" hidden="false" customHeight="false" outlineLevel="0" collapsed="false">
      <c r="B541" s="21"/>
      <c r="C541" s="16"/>
      <c r="D541" s="16"/>
      <c r="E541" s="17"/>
      <c r="F541" s="22" t="str">
        <f aca="false">IF(D541="","",IFERROR(INDEX(Setup!$C$8:$C$37,MATCH(D541,Setup!$B$8:$B$37,0)),"Check category"))</f>
        <v/>
      </c>
      <c r="G541" s="23" t="str">
        <f aca="false">IF(B541="","",MONTH(B541))</f>
        <v/>
      </c>
      <c r="H541" s="23" t="str">
        <f aca="false">IF(B541="","",YEAR(B541))</f>
        <v/>
      </c>
    </row>
    <row r="542" customFormat="false" ht="15" hidden="false" customHeight="false" outlineLevel="0" collapsed="false">
      <c r="B542" s="21"/>
      <c r="C542" s="16"/>
      <c r="D542" s="16"/>
      <c r="E542" s="17"/>
      <c r="F542" s="22" t="str">
        <f aca="false">IF(D542="","",IFERROR(INDEX(Setup!$C$8:$C$37,MATCH(D542,Setup!$B$8:$B$37,0)),"Check category"))</f>
        <v/>
      </c>
      <c r="G542" s="23" t="str">
        <f aca="false">IF(B542="","",MONTH(B542))</f>
        <v/>
      </c>
      <c r="H542" s="23" t="str">
        <f aca="false">IF(B542="","",YEAR(B542))</f>
        <v/>
      </c>
    </row>
    <row r="543" customFormat="false" ht="15" hidden="false" customHeight="false" outlineLevel="0" collapsed="false">
      <c r="B543" s="21"/>
      <c r="C543" s="16"/>
      <c r="D543" s="16"/>
      <c r="E543" s="17"/>
      <c r="F543" s="22" t="str">
        <f aca="false">IF(D543="","",IFERROR(INDEX(Setup!$C$8:$C$37,MATCH(D543,Setup!$B$8:$B$37,0)),"Check category"))</f>
        <v/>
      </c>
      <c r="G543" s="23" t="str">
        <f aca="false">IF(B543="","",MONTH(B543))</f>
        <v/>
      </c>
      <c r="H543" s="23" t="str">
        <f aca="false">IF(B543="","",YEAR(B543))</f>
        <v/>
      </c>
    </row>
    <row r="544" customFormat="false" ht="15" hidden="false" customHeight="false" outlineLevel="0" collapsed="false">
      <c r="B544" s="21"/>
      <c r="C544" s="16"/>
      <c r="D544" s="16"/>
      <c r="E544" s="17"/>
      <c r="F544" s="22" t="str">
        <f aca="false">IF(D544="","",IFERROR(INDEX(Setup!$C$8:$C$37,MATCH(D544,Setup!$B$8:$B$37,0)),"Check category"))</f>
        <v/>
      </c>
      <c r="G544" s="23" t="str">
        <f aca="false">IF(B544="","",MONTH(B544))</f>
        <v/>
      </c>
      <c r="H544" s="23" t="str">
        <f aca="false">IF(B544="","",YEAR(B544))</f>
        <v/>
      </c>
    </row>
    <row r="545" customFormat="false" ht="15" hidden="false" customHeight="false" outlineLevel="0" collapsed="false">
      <c r="B545" s="21"/>
      <c r="C545" s="16"/>
      <c r="D545" s="16"/>
      <c r="E545" s="17"/>
      <c r="F545" s="22" t="str">
        <f aca="false">IF(D545="","",IFERROR(INDEX(Setup!$C$8:$C$37,MATCH(D545,Setup!$B$8:$B$37,0)),"Check category"))</f>
        <v/>
      </c>
      <c r="G545" s="23" t="str">
        <f aca="false">IF(B545="","",MONTH(B545))</f>
        <v/>
      </c>
      <c r="H545" s="23" t="str">
        <f aca="false">IF(B545="","",YEAR(B545))</f>
        <v/>
      </c>
    </row>
    <row r="546" customFormat="false" ht="15" hidden="false" customHeight="false" outlineLevel="0" collapsed="false">
      <c r="B546" s="21"/>
      <c r="C546" s="16"/>
      <c r="D546" s="16"/>
      <c r="E546" s="17"/>
      <c r="F546" s="22" t="str">
        <f aca="false">IF(D546="","",IFERROR(INDEX(Setup!$C$8:$C$37,MATCH(D546,Setup!$B$8:$B$37,0)),"Check category"))</f>
        <v/>
      </c>
      <c r="G546" s="23" t="str">
        <f aca="false">IF(B546="","",MONTH(B546))</f>
        <v/>
      </c>
      <c r="H546" s="23" t="str">
        <f aca="false">IF(B546="","",YEAR(B546))</f>
        <v/>
      </c>
    </row>
    <row r="547" customFormat="false" ht="15" hidden="false" customHeight="false" outlineLevel="0" collapsed="false">
      <c r="B547" s="21"/>
      <c r="C547" s="16"/>
      <c r="D547" s="16"/>
      <c r="E547" s="17"/>
      <c r="F547" s="22" t="str">
        <f aca="false">IF(D547="","",IFERROR(INDEX(Setup!$C$8:$C$37,MATCH(D547,Setup!$B$8:$B$37,0)),"Check category"))</f>
        <v/>
      </c>
      <c r="G547" s="23" t="str">
        <f aca="false">IF(B547="","",MONTH(B547))</f>
        <v/>
      </c>
      <c r="H547" s="23" t="str">
        <f aca="false">IF(B547="","",YEAR(B547))</f>
        <v/>
      </c>
    </row>
    <row r="548" customFormat="false" ht="15" hidden="false" customHeight="false" outlineLevel="0" collapsed="false">
      <c r="B548" s="21"/>
      <c r="C548" s="16"/>
      <c r="D548" s="16"/>
      <c r="E548" s="17"/>
      <c r="F548" s="22" t="str">
        <f aca="false">IF(D548="","",IFERROR(INDEX(Setup!$C$8:$C$37,MATCH(D548,Setup!$B$8:$B$37,0)),"Check category"))</f>
        <v/>
      </c>
      <c r="G548" s="23" t="str">
        <f aca="false">IF(B548="","",MONTH(B548))</f>
        <v/>
      </c>
      <c r="H548" s="23" t="str">
        <f aca="false">IF(B548="","",YEAR(B548))</f>
        <v/>
      </c>
    </row>
    <row r="549" customFormat="false" ht="15" hidden="false" customHeight="false" outlineLevel="0" collapsed="false">
      <c r="B549" s="21"/>
      <c r="C549" s="16"/>
      <c r="D549" s="16"/>
      <c r="E549" s="17"/>
      <c r="F549" s="22" t="str">
        <f aca="false">IF(D549="","",IFERROR(INDEX(Setup!$C$8:$C$37,MATCH(D549,Setup!$B$8:$B$37,0)),"Check category"))</f>
        <v/>
      </c>
      <c r="G549" s="23" t="str">
        <f aca="false">IF(B549="","",MONTH(B549))</f>
        <v/>
      </c>
      <c r="H549" s="23" t="str">
        <f aca="false">IF(B549="","",YEAR(B549))</f>
        <v/>
      </c>
    </row>
    <row r="550" customFormat="false" ht="15" hidden="false" customHeight="false" outlineLevel="0" collapsed="false">
      <c r="B550" s="21"/>
      <c r="C550" s="16"/>
      <c r="D550" s="16"/>
      <c r="E550" s="17"/>
      <c r="F550" s="22" t="str">
        <f aca="false">IF(D550="","",IFERROR(INDEX(Setup!$C$8:$C$37,MATCH(D550,Setup!$B$8:$B$37,0)),"Check category"))</f>
        <v/>
      </c>
      <c r="G550" s="23" t="str">
        <f aca="false">IF(B550="","",MONTH(B550))</f>
        <v/>
      </c>
      <c r="H550" s="23" t="str">
        <f aca="false">IF(B550="","",YEAR(B550))</f>
        <v/>
      </c>
    </row>
    <row r="551" customFormat="false" ht="15" hidden="false" customHeight="false" outlineLevel="0" collapsed="false">
      <c r="B551" s="21"/>
      <c r="C551" s="16"/>
      <c r="D551" s="16"/>
      <c r="E551" s="17"/>
      <c r="F551" s="22" t="str">
        <f aca="false">IF(D551="","",IFERROR(INDEX(Setup!$C$8:$C$37,MATCH(D551,Setup!$B$8:$B$37,0)),"Check category"))</f>
        <v/>
      </c>
      <c r="G551" s="23" t="str">
        <f aca="false">IF(B551="","",MONTH(B551))</f>
        <v/>
      </c>
      <c r="H551" s="23" t="str">
        <f aca="false">IF(B551="","",YEAR(B551))</f>
        <v/>
      </c>
    </row>
    <row r="552" customFormat="false" ht="15" hidden="false" customHeight="false" outlineLevel="0" collapsed="false">
      <c r="B552" s="21"/>
      <c r="C552" s="16"/>
      <c r="D552" s="16"/>
      <c r="E552" s="17"/>
      <c r="F552" s="22" t="str">
        <f aca="false">IF(D552="","",IFERROR(INDEX(Setup!$C$8:$C$37,MATCH(D552,Setup!$B$8:$B$37,0)),"Check category"))</f>
        <v/>
      </c>
      <c r="G552" s="23" t="str">
        <f aca="false">IF(B552="","",MONTH(B552))</f>
        <v/>
      </c>
      <c r="H552" s="23" t="str">
        <f aca="false">IF(B552="","",YEAR(B552))</f>
        <v/>
      </c>
    </row>
    <row r="553" customFormat="false" ht="15" hidden="false" customHeight="false" outlineLevel="0" collapsed="false">
      <c r="B553" s="21"/>
      <c r="C553" s="16"/>
      <c r="D553" s="16"/>
      <c r="E553" s="17"/>
      <c r="F553" s="22" t="str">
        <f aca="false">IF(D553="","",IFERROR(INDEX(Setup!$C$8:$C$37,MATCH(D553,Setup!$B$8:$B$37,0)),"Check category"))</f>
        <v/>
      </c>
      <c r="G553" s="23" t="str">
        <f aca="false">IF(B553="","",MONTH(B553))</f>
        <v/>
      </c>
      <c r="H553" s="23" t="str">
        <f aca="false">IF(B553="","",YEAR(B553))</f>
        <v/>
      </c>
    </row>
    <row r="554" customFormat="false" ht="15" hidden="false" customHeight="false" outlineLevel="0" collapsed="false">
      <c r="B554" s="21"/>
      <c r="C554" s="16"/>
      <c r="D554" s="16"/>
      <c r="E554" s="17"/>
      <c r="F554" s="22" t="str">
        <f aca="false">IF(D554="","",IFERROR(INDEX(Setup!$C$8:$C$37,MATCH(D554,Setup!$B$8:$B$37,0)),"Check category"))</f>
        <v/>
      </c>
      <c r="G554" s="23" t="str">
        <f aca="false">IF(B554="","",MONTH(B554))</f>
        <v/>
      </c>
      <c r="H554" s="23" t="str">
        <f aca="false">IF(B554="","",YEAR(B554))</f>
        <v/>
      </c>
    </row>
    <row r="555" customFormat="false" ht="15" hidden="false" customHeight="false" outlineLevel="0" collapsed="false">
      <c r="B555" s="21"/>
      <c r="C555" s="16"/>
      <c r="D555" s="16"/>
      <c r="E555" s="17"/>
      <c r="F555" s="22" t="str">
        <f aca="false">IF(D555="","",IFERROR(INDEX(Setup!$C$8:$C$37,MATCH(D555,Setup!$B$8:$B$37,0)),"Check category"))</f>
        <v/>
      </c>
      <c r="G555" s="23" t="str">
        <f aca="false">IF(B555="","",MONTH(B555))</f>
        <v/>
      </c>
      <c r="H555" s="23" t="str">
        <f aca="false">IF(B555="","",YEAR(B555))</f>
        <v/>
      </c>
    </row>
    <row r="556" customFormat="false" ht="15" hidden="false" customHeight="false" outlineLevel="0" collapsed="false">
      <c r="B556" s="21"/>
      <c r="C556" s="16"/>
      <c r="D556" s="16"/>
      <c r="E556" s="17"/>
      <c r="F556" s="22" t="str">
        <f aca="false">IF(D556="","",IFERROR(INDEX(Setup!$C$8:$C$37,MATCH(D556,Setup!$B$8:$B$37,0)),"Check category"))</f>
        <v/>
      </c>
      <c r="G556" s="23" t="str">
        <f aca="false">IF(B556="","",MONTH(B556))</f>
        <v/>
      </c>
      <c r="H556" s="23" t="str">
        <f aca="false">IF(B556="","",YEAR(B556))</f>
        <v/>
      </c>
    </row>
    <row r="557" customFormat="false" ht="15" hidden="false" customHeight="false" outlineLevel="0" collapsed="false">
      <c r="B557" s="21"/>
      <c r="C557" s="16"/>
      <c r="D557" s="16"/>
      <c r="E557" s="17"/>
      <c r="F557" s="22" t="str">
        <f aca="false">IF(D557="","",IFERROR(INDEX(Setup!$C$8:$C$37,MATCH(D557,Setup!$B$8:$B$37,0)),"Check category"))</f>
        <v/>
      </c>
      <c r="G557" s="23" t="str">
        <f aca="false">IF(B557="","",MONTH(B557))</f>
        <v/>
      </c>
      <c r="H557" s="23" t="str">
        <f aca="false">IF(B557="","",YEAR(B557))</f>
        <v/>
      </c>
    </row>
    <row r="558" customFormat="false" ht="15" hidden="false" customHeight="false" outlineLevel="0" collapsed="false">
      <c r="B558" s="21"/>
      <c r="C558" s="16"/>
      <c r="D558" s="16"/>
      <c r="E558" s="17"/>
      <c r="F558" s="22" t="str">
        <f aca="false">IF(D558="","",IFERROR(INDEX(Setup!$C$8:$C$37,MATCH(D558,Setup!$B$8:$B$37,0)),"Check category"))</f>
        <v/>
      </c>
      <c r="G558" s="23" t="str">
        <f aca="false">IF(B558="","",MONTH(B558))</f>
        <v/>
      </c>
      <c r="H558" s="23" t="str">
        <f aca="false">IF(B558="","",YEAR(B558))</f>
        <v/>
      </c>
    </row>
    <row r="559" customFormat="false" ht="15" hidden="false" customHeight="false" outlineLevel="0" collapsed="false">
      <c r="B559" s="21"/>
      <c r="C559" s="16"/>
      <c r="D559" s="16"/>
      <c r="E559" s="17"/>
      <c r="F559" s="22" t="str">
        <f aca="false">IF(D559="","",IFERROR(INDEX(Setup!$C$8:$C$37,MATCH(D559,Setup!$B$8:$B$37,0)),"Check category"))</f>
        <v/>
      </c>
      <c r="G559" s="23" t="str">
        <f aca="false">IF(B559="","",MONTH(B559))</f>
        <v/>
      </c>
      <c r="H559" s="23" t="str">
        <f aca="false">IF(B559="","",YEAR(B559))</f>
        <v/>
      </c>
    </row>
    <row r="560" customFormat="false" ht="15" hidden="false" customHeight="false" outlineLevel="0" collapsed="false">
      <c r="B560" s="21"/>
      <c r="C560" s="16"/>
      <c r="D560" s="16"/>
      <c r="E560" s="17"/>
      <c r="F560" s="22" t="str">
        <f aca="false">IF(D560="","",IFERROR(INDEX(Setup!$C$8:$C$37,MATCH(D560,Setup!$B$8:$B$37,0)),"Check category"))</f>
        <v/>
      </c>
      <c r="G560" s="23" t="str">
        <f aca="false">IF(B560="","",MONTH(B560))</f>
        <v/>
      </c>
      <c r="H560" s="23" t="str">
        <f aca="false">IF(B560="","",YEAR(B560))</f>
        <v/>
      </c>
    </row>
    <row r="561" customFormat="false" ht="15" hidden="false" customHeight="false" outlineLevel="0" collapsed="false">
      <c r="B561" s="21"/>
      <c r="C561" s="16"/>
      <c r="D561" s="16"/>
      <c r="E561" s="17"/>
      <c r="F561" s="22" t="str">
        <f aca="false">IF(D561="","",IFERROR(INDEX(Setup!$C$8:$C$37,MATCH(D561,Setup!$B$8:$B$37,0)),"Check category"))</f>
        <v/>
      </c>
      <c r="G561" s="23" t="str">
        <f aca="false">IF(B561="","",MONTH(B561))</f>
        <v/>
      </c>
      <c r="H561" s="23" t="str">
        <f aca="false">IF(B561="","",YEAR(B561))</f>
        <v/>
      </c>
    </row>
    <row r="562" customFormat="false" ht="15" hidden="false" customHeight="false" outlineLevel="0" collapsed="false">
      <c r="B562" s="21"/>
      <c r="C562" s="16"/>
      <c r="D562" s="16"/>
      <c r="E562" s="17"/>
      <c r="F562" s="22" t="str">
        <f aca="false">IF(D562="","",IFERROR(INDEX(Setup!$C$8:$C$37,MATCH(D562,Setup!$B$8:$B$37,0)),"Check category"))</f>
        <v/>
      </c>
      <c r="G562" s="23" t="str">
        <f aca="false">IF(B562="","",MONTH(B562))</f>
        <v/>
      </c>
      <c r="H562" s="23" t="str">
        <f aca="false">IF(B562="","",YEAR(B562))</f>
        <v/>
      </c>
    </row>
    <row r="563" customFormat="false" ht="15" hidden="false" customHeight="false" outlineLevel="0" collapsed="false">
      <c r="B563" s="21"/>
      <c r="C563" s="16"/>
      <c r="D563" s="16"/>
      <c r="E563" s="17"/>
      <c r="F563" s="22" t="str">
        <f aca="false">IF(D563="","",IFERROR(INDEX(Setup!$C$8:$C$37,MATCH(D563,Setup!$B$8:$B$37,0)),"Check category"))</f>
        <v/>
      </c>
      <c r="G563" s="23" t="str">
        <f aca="false">IF(B563="","",MONTH(B563))</f>
        <v/>
      </c>
      <c r="H563" s="23" t="str">
        <f aca="false">IF(B563="","",YEAR(B563))</f>
        <v/>
      </c>
    </row>
    <row r="564" customFormat="false" ht="15" hidden="false" customHeight="false" outlineLevel="0" collapsed="false">
      <c r="B564" s="21"/>
      <c r="C564" s="16"/>
      <c r="D564" s="16"/>
      <c r="E564" s="17"/>
      <c r="F564" s="22" t="str">
        <f aca="false">IF(D564="","",IFERROR(INDEX(Setup!$C$8:$C$37,MATCH(D564,Setup!$B$8:$B$37,0)),"Check category"))</f>
        <v/>
      </c>
      <c r="G564" s="23" t="str">
        <f aca="false">IF(B564="","",MONTH(B564))</f>
        <v/>
      </c>
      <c r="H564" s="23" t="str">
        <f aca="false">IF(B564="","",YEAR(B564))</f>
        <v/>
      </c>
    </row>
    <row r="565" customFormat="false" ht="15" hidden="false" customHeight="false" outlineLevel="0" collapsed="false">
      <c r="B565" s="21"/>
      <c r="C565" s="16"/>
      <c r="D565" s="16"/>
      <c r="E565" s="17"/>
      <c r="F565" s="22" t="str">
        <f aca="false">IF(D565="","",IFERROR(INDEX(Setup!$C$8:$C$37,MATCH(D565,Setup!$B$8:$B$37,0)),"Check category"))</f>
        <v/>
      </c>
      <c r="G565" s="23" t="str">
        <f aca="false">IF(B565="","",MONTH(B565))</f>
        <v/>
      </c>
      <c r="H565" s="23" t="str">
        <f aca="false">IF(B565="","",YEAR(B565))</f>
        <v/>
      </c>
    </row>
    <row r="566" customFormat="false" ht="15" hidden="false" customHeight="false" outlineLevel="0" collapsed="false">
      <c r="B566" s="21"/>
      <c r="C566" s="16"/>
      <c r="D566" s="16"/>
      <c r="E566" s="17"/>
      <c r="F566" s="22" t="str">
        <f aca="false">IF(D566="","",IFERROR(INDEX(Setup!$C$8:$C$37,MATCH(D566,Setup!$B$8:$B$37,0)),"Check category"))</f>
        <v/>
      </c>
      <c r="G566" s="23" t="str">
        <f aca="false">IF(B566="","",MONTH(B566))</f>
        <v/>
      </c>
      <c r="H566" s="23" t="str">
        <f aca="false">IF(B566="","",YEAR(B566))</f>
        <v/>
      </c>
    </row>
    <row r="567" customFormat="false" ht="15" hidden="false" customHeight="false" outlineLevel="0" collapsed="false">
      <c r="B567" s="21"/>
      <c r="C567" s="16"/>
      <c r="D567" s="16"/>
      <c r="E567" s="17"/>
      <c r="F567" s="22" t="str">
        <f aca="false">IF(D567="","",IFERROR(INDEX(Setup!$C$8:$C$37,MATCH(D567,Setup!$B$8:$B$37,0)),"Check category"))</f>
        <v/>
      </c>
      <c r="G567" s="23" t="str">
        <f aca="false">IF(B567="","",MONTH(B567))</f>
        <v/>
      </c>
      <c r="H567" s="23" t="str">
        <f aca="false">IF(B567="","",YEAR(B567))</f>
        <v/>
      </c>
    </row>
    <row r="568" customFormat="false" ht="15" hidden="false" customHeight="false" outlineLevel="0" collapsed="false">
      <c r="B568" s="21"/>
      <c r="C568" s="16"/>
      <c r="D568" s="16"/>
      <c r="E568" s="17"/>
      <c r="F568" s="22" t="str">
        <f aca="false">IF(D568="","",IFERROR(INDEX(Setup!$C$8:$C$37,MATCH(D568,Setup!$B$8:$B$37,0)),"Check category"))</f>
        <v/>
      </c>
      <c r="G568" s="23" t="str">
        <f aca="false">IF(B568="","",MONTH(B568))</f>
        <v/>
      </c>
      <c r="H568" s="23" t="str">
        <f aca="false">IF(B568="","",YEAR(B568))</f>
        <v/>
      </c>
    </row>
    <row r="569" customFormat="false" ht="15" hidden="false" customHeight="false" outlineLevel="0" collapsed="false">
      <c r="B569" s="21"/>
      <c r="C569" s="16"/>
      <c r="D569" s="16"/>
      <c r="E569" s="17"/>
      <c r="F569" s="22" t="str">
        <f aca="false">IF(D569="","",IFERROR(INDEX(Setup!$C$8:$C$37,MATCH(D569,Setup!$B$8:$B$37,0)),"Check category"))</f>
        <v/>
      </c>
      <c r="G569" s="23" t="str">
        <f aca="false">IF(B569="","",MONTH(B569))</f>
        <v/>
      </c>
      <c r="H569" s="23" t="str">
        <f aca="false">IF(B569="","",YEAR(B569))</f>
        <v/>
      </c>
    </row>
    <row r="570" customFormat="false" ht="15" hidden="false" customHeight="false" outlineLevel="0" collapsed="false">
      <c r="B570" s="21"/>
      <c r="C570" s="16"/>
      <c r="D570" s="16"/>
      <c r="E570" s="17"/>
      <c r="F570" s="22" t="str">
        <f aca="false">IF(D570="","",IFERROR(INDEX(Setup!$C$8:$C$37,MATCH(D570,Setup!$B$8:$B$37,0)),"Check category"))</f>
        <v/>
      </c>
      <c r="G570" s="23" t="str">
        <f aca="false">IF(B570="","",MONTH(B570))</f>
        <v/>
      </c>
      <c r="H570" s="23" t="str">
        <f aca="false">IF(B570="","",YEAR(B570))</f>
        <v/>
      </c>
    </row>
    <row r="571" customFormat="false" ht="15" hidden="false" customHeight="false" outlineLevel="0" collapsed="false">
      <c r="B571" s="21"/>
      <c r="C571" s="16"/>
      <c r="D571" s="16"/>
      <c r="E571" s="17"/>
      <c r="F571" s="22" t="str">
        <f aca="false">IF(D571="","",IFERROR(INDEX(Setup!$C$8:$C$37,MATCH(D571,Setup!$B$8:$B$37,0)),"Check category"))</f>
        <v/>
      </c>
      <c r="G571" s="23" t="str">
        <f aca="false">IF(B571="","",MONTH(B571))</f>
        <v/>
      </c>
      <c r="H571" s="23" t="str">
        <f aca="false">IF(B571="","",YEAR(B571))</f>
        <v/>
      </c>
    </row>
    <row r="572" customFormat="false" ht="15" hidden="false" customHeight="false" outlineLevel="0" collapsed="false">
      <c r="B572" s="21"/>
      <c r="C572" s="16"/>
      <c r="D572" s="16"/>
      <c r="E572" s="17"/>
      <c r="F572" s="22" t="str">
        <f aca="false">IF(D572="","",IFERROR(INDEX(Setup!$C$8:$C$37,MATCH(D572,Setup!$B$8:$B$37,0)),"Check category"))</f>
        <v/>
      </c>
      <c r="G572" s="23" t="str">
        <f aca="false">IF(B572="","",MONTH(B572))</f>
        <v/>
      </c>
      <c r="H572" s="23" t="str">
        <f aca="false">IF(B572="","",YEAR(B572))</f>
        <v/>
      </c>
    </row>
    <row r="573" customFormat="false" ht="15" hidden="false" customHeight="false" outlineLevel="0" collapsed="false">
      <c r="B573" s="21"/>
      <c r="C573" s="16"/>
      <c r="D573" s="16"/>
      <c r="E573" s="17"/>
      <c r="F573" s="22" t="str">
        <f aca="false">IF(D573="","",IFERROR(INDEX(Setup!$C$8:$C$37,MATCH(D573,Setup!$B$8:$B$37,0)),"Check category"))</f>
        <v/>
      </c>
      <c r="G573" s="23" t="str">
        <f aca="false">IF(B573="","",MONTH(B573))</f>
        <v/>
      </c>
      <c r="H573" s="23" t="str">
        <f aca="false">IF(B573="","",YEAR(B573))</f>
        <v/>
      </c>
    </row>
    <row r="574" customFormat="false" ht="15" hidden="false" customHeight="false" outlineLevel="0" collapsed="false">
      <c r="B574" s="21"/>
      <c r="C574" s="16"/>
      <c r="D574" s="16"/>
      <c r="E574" s="17"/>
      <c r="F574" s="22" t="str">
        <f aca="false">IF(D574="","",IFERROR(INDEX(Setup!$C$8:$C$37,MATCH(D574,Setup!$B$8:$B$37,0)),"Check category"))</f>
        <v/>
      </c>
      <c r="G574" s="23" t="str">
        <f aca="false">IF(B574="","",MONTH(B574))</f>
        <v/>
      </c>
      <c r="H574" s="23" t="str">
        <f aca="false">IF(B574="","",YEAR(B574))</f>
        <v/>
      </c>
    </row>
    <row r="575" customFormat="false" ht="15" hidden="false" customHeight="false" outlineLevel="0" collapsed="false">
      <c r="B575" s="21"/>
      <c r="C575" s="16"/>
      <c r="D575" s="16"/>
      <c r="E575" s="17"/>
      <c r="F575" s="22" t="str">
        <f aca="false">IF(D575="","",IFERROR(INDEX(Setup!$C$8:$C$37,MATCH(D575,Setup!$B$8:$B$37,0)),"Check category"))</f>
        <v/>
      </c>
      <c r="G575" s="23" t="str">
        <f aca="false">IF(B575="","",MONTH(B575))</f>
        <v/>
      </c>
      <c r="H575" s="23" t="str">
        <f aca="false">IF(B575="","",YEAR(B575))</f>
        <v/>
      </c>
    </row>
    <row r="576" customFormat="false" ht="15" hidden="false" customHeight="false" outlineLevel="0" collapsed="false">
      <c r="B576" s="21"/>
      <c r="C576" s="16"/>
      <c r="D576" s="16"/>
      <c r="E576" s="17"/>
      <c r="F576" s="22" t="str">
        <f aca="false">IF(D576="","",IFERROR(INDEX(Setup!$C$8:$C$37,MATCH(D576,Setup!$B$8:$B$37,0)),"Check category"))</f>
        <v/>
      </c>
      <c r="G576" s="23" t="str">
        <f aca="false">IF(B576="","",MONTH(B576))</f>
        <v/>
      </c>
      <c r="H576" s="23" t="str">
        <f aca="false">IF(B576="","",YEAR(B576))</f>
        <v/>
      </c>
    </row>
    <row r="577" customFormat="false" ht="15" hidden="false" customHeight="false" outlineLevel="0" collapsed="false">
      <c r="B577" s="21"/>
      <c r="C577" s="16"/>
      <c r="D577" s="16"/>
      <c r="E577" s="17"/>
      <c r="F577" s="22" t="str">
        <f aca="false">IF(D577="","",IFERROR(INDEX(Setup!$C$8:$C$37,MATCH(D577,Setup!$B$8:$B$37,0)),"Check category"))</f>
        <v/>
      </c>
      <c r="G577" s="23" t="str">
        <f aca="false">IF(B577="","",MONTH(B577))</f>
        <v/>
      </c>
      <c r="H577" s="23" t="str">
        <f aca="false">IF(B577="","",YEAR(B577))</f>
        <v/>
      </c>
    </row>
    <row r="578" customFormat="false" ht="15" hidden="false" customHeight="false" outlineLevel="0" collapsed="false">
      <c r="B578" s="21"/>
      <c r="C578" s="16"/>
      <c r="D578" s="16"/>
      <c r="E578" s="17"/>
      <c r="F578" s="22" t="str">
        <f aca="false">IF(D578="","",IFERROR(INDEX(Setup!$C$8:$C$37,MATCH(D578,Setup!$B$8:$B$37,0)),"Check category"))</f>
        <v/>
      </c>
      <c r="G578" s="23" t="str">
        <f aca="false">IF(B578="","",MONTH(B578))</f>
        <v/>
      </c>
      <c r="H578" s="23" t="str">
        <f aca="false">IF(B578="","",YEAR(B578))</f>
        <v/>
      </c>
    </row>
    <row r="579" customFormat="false" ht="15" hidden="false" customHeight="false" outlineLevel="0" collapsed="false">
      <c r="B579" s="21"/>
      <c r="C579" s="16"/>
      <c r="D579" s="16"/>
      <c r="E579" s="17"/>
      <c r="F579" s="22" t="str">
        <f aca="false">IF(D579="","",IFERROR(INDEX(Setup!$C$8:$C$37,MATCH(D579,Setup!$B$8:$B$37,0)),"Check category"))</f>
        <v/>
      </c>
      <c r="G579" s="23" t="str">
        <f aca="false">IF(B579="","",MONTH(B579))</f>
        <v/>
      </c>
      <c r="H579" s="23" t="str">
        <f aca="false">IF(B579="","",YEAR(B579))</f>
        <v/>
      </c>
    </row>
    <row r="580" customFormat="false" ht="15" hidden="false" customHeight="false" outlineLevel="0" collapsed="false">
      <c r="B580" s="21"/>
      <c r="C580" s="16"/>
      <c r="D580" s="16"/>
      <c r="E580" s="17"/>
      <c r="F580" s="22" t="str">
        <f aca="false">IF(D580="","",IFERROR(INDEX(Setup!$C$8:$C$37,MATCH(D580,Setup!$B$8:$B$37,0)),"Check category"))</f>
        <v/>
      </c>
      <c r="G580" s="23" t="str">
        <f aca="false">IF(B580="","",MONTH(B580))</f>
        <v/>
      </c>
      <c r="H580" s="23" t="str">
        <f aca="false">IF(B580="","",YEAR(B580))</f>
        <v/>
      </c>
    </row>
    <row r="581" customFormat="false" ht="15" hidden="false" customHeight="false" outlineLevel="0" collapsed="false">
      <c r="B581" s="21"/>
      <c r="C581" s="16"/>
      <c r="D581" s="16"/>
      <c r="E581" s="17"/>
      <c r="F581" s="22" t="str">
        <f aca="false">IF(D581="","",IFERROR(INDEX(Setup!$C$8:$C$37,MATCH(D581,Setup!$B$8:$B$37,0)),"Check category"))</f>
        <v/>
      </c>
      <c r="G581" s="23" t="str">
        <f aca="false">IF(B581="","",MONTH(B581))</f>
        <v/>
      </c>
      <c r="H581" s="23" t="str">
        <f aca="false">IF(B581="","",YEAR(B581))</f>
        <v/>
      </c>
    </row>
    <row r="582" customFormat="false" ht="15" hidden="false" customHeight="false" outlineLevel="0" collapsed="false">
      <c r="B582" s="21"/>
      <c r="C582" s="16"/>
      <c r="D582" s="16"/>
      <c r="E582" s="17"/>
      <c r="F582" s="22" t="str">
        <f aca="false">IF(D582="","",IFERROR(INDEX(Setup!$C$8:$C$37,MATCH(D582,Setup!$B$8:$B$37,0)),"Check category"))</f>
        <v/>
      </c>
      <c r="G582" s="23" t="str">
        <f aca="false">IF(B582="","",MONTH(B582))</f>
        <v/>
      </c>
      <c r="H582" s="23" t="str">
        <f aca="false">IF(B582="","",YEAR(B582))</f>
        <v/>
      </c>
    </row>
    <row r="583" customFormat="false" ht="15" hidden="false" customHeight="false" outlineLevel="0" collapsed="false">
      <c r="B583" s="21"/>
      <c r="C583" s="16"/>
      <c r="D583" s="16"/>
      <c r="E583" s="17"/>
      <c r="F583" s="22" t="str">
        <f aca="false">IF(D583="","",IFERROR(INDEX(Setup!$C$8:$C$37,MATCH(D583,Setup!$B$8:$B$37,0)),"Check category"))</f>
        <v/>
      </c>
      <c r="G583" s="23" t="str">
        <f aca="false">IF(B583="","",MONTH(B583))</f>
        <v/>
      </c>
      <c r="H583" s="23" t="str">
        <f aca="false">IF(B583="","",YEAR(B583))</f>
        <v/>
      </c>
    </row>
    <row r="584" customFormat="false" ht="15" hidden="false" customHeight="false" outlineLevel="0" collapsed="false">
      <c r="B584" s="21"/>
      <c r="C584" s="16"/>
      <c r="D584" s="16"/>
      <c r="E584" s="17"/>
      <c r="F584" s="22" t="str">
        <f aca="false">IF(D584="","",IFERROR(INDEX(Setup!$C$8:$C$37,MATCH(D584,Setup!$B$8:$B$37,0)),"Check category"))</f>
        <v/>
      </c>
      <c r="G584" s="23" t="str">
        <f aca="false">IF(B584="","",MONTH(B584))</f>
        <v/>
      </c>
      <c r="H584" s="23" t="str">
        <f aca="false">IF(B584="","",YEAR(B584))</f>
        <v/>
      </c>
    </row>
    <row r="585" customFormat="false" ht="15" hidden="false" customHeight="false" outlineLevel="0" collapsed="false">
      <c r="B585" s="21"/>
      <c r="C585" s="16"/>
      <c r="D585" s="16"/>
      <c r="E585" s="17"/>
      <c r="F585" s="22" t="str">
        <f aca="false">IF(D585="","",IFERROR(INDEX(Setup!$C$8:$C$37,MATCH(D585,Setup!$B$8:$B$37,0)),"Check category"))</f>
        <v/>
      </c>
      <c r="G585" s="23" t="str">
        <f aca="false">IF(B585="","",MONTH(B585))</f>
        <v/>
      </c>
      <c r="H585" s="23" t="str">
        <f aca="false">IF(B585="","",YEAR(B585))</f>
        <v/>
      </c>
    </row>
    <row r="586" customFormat="false" ht="15" hidden="false" customHeight="false" outlineLevel="0" collapsed="false">
      <c r="B586" s="21"/>
      <c r="C586" s="16"/>
      <c r="D586" s="16"/>
      <c r="E586" s="17"/>
      <c r="F586" s="22" t="str">
        <f aca="false">IF(D586="","",IFERROR(INDEX(Setup!$C$8:$C$37,MATCH(D586,Setup!$B$8:$B$37,0)),"Check category"))</f>
        <v/>
      </c>
      <c r="G586" s="23" t="str">
        <f aca="false">IF(B586="","",MONTH(B586))</f>
        <v/>
      </c>
      <c r="H586" s="23" t="str">
        <f aca="false">IF(B586="","",YEAR(B586))</f>
        <v/>
      </c>
    </row>
    <row r="587" customFormat="false" ht="15" hidden="false" customHeight="false" outlineLevel="0" collapsed="false">
      <c r="B587" s="21"/>
      <c r="C587" s="16"/>
      <c r="D587" s="16"/>
      <c r="E587" s="17"/>
      <c r="F587" s="22" t="str">
        <f aca="false">IF(D587="","",IFERROR(INDEX(Setup!$C$8:$C$37,MATCH(D587,Setup!$B$8:$B$37,0)),"Check category"))</f>
        <v/>
      </c>
      <c r="G587" s="23" t="str">
        <f aca="false">IF(B587="","",MONTH(B587))</f>
        <v/>
      </c>
      <c r="H587" s="23" t="str">
        <f aca="false">IF(B587="","",YEAR(B587))</f>
        <v/>
      </c>
    </row>
    <row r="588" customFormat="false" ht="15" hidden="false" customHeight="false" outlineLevel="0" collapsed="false">
      <c r="B588" s="21"/>
      <c r="C588" s="16"/>
      <c r="D588" s="16"/>
      <c r="E588" s="17"/>
      <c r="F588" s="22" t="str">
        <f aca="false">IF(D588="","",IFERROR(INDEX(Setup!$C$8:$C$37,MATCH(D588,Setup!$B$8:$B$37,0)),"Check category"))</f>
        <v/>
      </c>
      <c r="G588" s="23" t="str">
        <f aca="false">IF(B588="","",MONTH(B588))</f>
        <v/>
      </c>
      <c r="H588" s="23" t="str">
        <f aca="false">IF(B588="","",YEAR(B588))</f>
        <v/>
      </c>
    </row>
    <row r="589" customFormat="false" ht="15" hidden="false" customHeight="false" outlineLevel="0" collapsed="false">
      <c r="B589" s="21"/>
      <c r="C589" s="16"/>
      <c r="D589" s="16"/>
      <c r="E589" s="17"/>
      <c r="F589" s="22" t="str">
        <f aca="false">IF(D589="","",IFERROR(INDEX(Setup!$C$8:$C$37,MATCH(D589,Setup!$B$8:$B$37,0)),"Check category"))</f>
        <v/>
      </c>
      <c r="G589" s="23" t="str">
        <f aca="false">IF(B589="","",MONTH(B589))</f>
        <v/>
      </c>
      <c r="H589" s="23" t="str">
        <f aca="false">IF(B589="","",YEAR(B589))</f>
        <v/>
      </c>
    </row>
    <row r="590" customFormat="false" ht="15" hidden="false" customHeight="false" outlineLevel="0" collapsed="false">
      <c r="B590" s="21"/>
      <c r="C590" s="16"/>
      <c r="D590" s="16"/>
      <c r="E590" s="17"/>
      <c r="F590" s="22" t="str">
        <f aca="false">IF(D590="","",IFERROR(INDEX(Setup!$C$8:$C$37,MATCH(D590,Setup!$B$8:$B$37,0)),"Check category"))</f>
        <v/>
      </c>
      <c r="G590" s="23" t="str">
        <f aca="false">IF(B590="","",MONTH(B590))</f>
        <v/>
      </c>
      <c r="H590" s="23" t="str">
        <f aca="false">IF(B590="","",YEAR(B590))</f>
        <v/>
      </c>
    </row>
    <row r="591" customFormat="false" ht="15" hidden="false" customHeight="false" outlineLevel="0" collapsed="false">
      <c r="B591" s="21"/>
      <c r="C591" s="16"/>
      <c r="D591" s="16"/>
      <c r="E591" s="17"/>
      <c r="F591" s="22" t="str">
        <f aca="false">IF(D591="","",IFERROR(INDEX(Setup!$C$8:$C$37,MATCH(D591,Setup!$B$8:$B$37,0)),"Check category"))</f>
        <v/>
      </c>
      <c r="G591" s="23" t="str">
        <f aca="false">IF(B591="","",MONTH(B591))</f>
        <v/>
      </c>
      <c r="H591" s="23" t="str">
        <f aca="false">IF(B591="","",YEAR(B591))</f>
        <v/>
      </c>
    </row>
    <row r="592" customFormat="false" ht="15" hidden="false" customHeight="false" outlineLevel="0" collapsed="false">
      <c r="B592" s="21"/>
      <c r="C592" s="16"/>
      <c r="D592" s="16"/>
      <c r="E592" s="17"/>
      <c r="F592" s="22" t="str">
        <f aca="false">IF(D592="","",IFERROR(INDEX(Setup!$C$8:$C$37,MATCH(D592,Setup!$B$8:$B$37,0)),"Check category"))</f>
        <v/>
      </c>
      <c r="G592" s="23" t="str">
        <f aca="false">IF(B592="","",MONTH(B592))</f>
        <v/>
      </c>
      <c r="H592" s="23" t="str">
        <f aca="false">IF(B592="","",YEAR(B592))</f>
        <v/>
      </c>
    </row>
    <row r="593" customFormat="false" ht="15" hidden="false" customHeight="false" outlineLevel="0" collapsed="false">
      <c r="B593" s="21"/>
      <c r="C593" s="16"/>
      <c r="D593" s="16"/>
      <c r="E593" s="17"/>
      <c r="F593" s="22" t="str">
        <f aca="false">IF(D593="","",IFERROR(INDEX(Setup!$C$8:$C$37,MATCH(D593,Setup!$B$8:$B$37,0)),"Check category"))</f>
        <v/>
      </c>
      <c r="G593" s="23" t="str">
        <f aca="false">IF(B593="","",MONTH(B593))</f>
        <v/>
      </c>
      <c r="H593" s="23" t="str">
        <f aca="false">IF(B593="","",YEAR(B593))</f>
        <v/>
      </c>
    </row>
    <row r="594" customFormat="false" ht="15" hidden="false" customHeight="false" outlineLevel="0" collapsed="false">
      <c r="B594" s="21"/>
      <c r="C594" s="16"/>
      <c r="D594" s="16"/>
      <c r="E594" s="17"/>
      <c r="F594" s="22" t="str">
        <f aca="false">IF(D594="","",IFERROR(INDEX(Setup!$C$8:$C$37,MATCH(D594,Setup!$B$8:$B$37,0)),"Check category"))</f>
        <v/>
      </c>
      <c r="G594" s="23" t="str">
        <f aca="false">IF(B594="","",MONTH(B594))</f>
        <v/>
      </c>
      <c r="H594" s="23" t="str">
        <f aca="false">IF(B594="","",YEAR(B594))</f>
        <v/>
      </c>
    </row>
    <row r="595" customFormat="false" ht="15" hidden="false" customHeight="false" outlineLevel="0" collapsed="false">
      <c r="B595" s="21"/>
      <c r="C595" s="16"/>
      <c r="D595" s="16"/>
      <c r="E595" s="17"/>
      <c r="F595" s="22" t="str">
        <f aca="false">IF(D595="","",IFERROR(INDEX(Setup!$C$8:$C$37,MATCH(D595,Setup!$B$8:$B$37,0)),"Check category"))</f>
        <v/>
      </c>
      <c r="G595" s="23" t="str">
        <f aca="false">IF(B595="","",MONTH(B595))</f>
        <v/>
      </c>
      <c r="H595" s="23" t="str">
        <f aca="false">IF(B595="","",YEAR(B595))</f>
        <v/>
      </c>
    </row>
    <row r="596" customFormat="false" ht="15" hidden="false" customHeight="false" outlineLevel="0" collapsed="false">
      <c r="B596" s="21"/>
      <c r="C596" s="16"/>
      <c r="D596" s="16"/>
      <c r="E596" s="17"/>
      <c r="F596" s="22" t="str">
        <f aca="false">IF(D596="","",IFERROR(INDEX(Setup!$C$8:$C$37,MATCH(D596,Setup!$B$8:$B$37,0)),"Check category"))</f>
        <v/>
      </c>
      <c r="G596" s="23" t="str">
        <f aca="false">IF(B596="","",MONTH(B596))</f>
        <v/>
      </c>
      <c r="H596" s="23" t="str">
        <f aca="false">IF(B596="","",YEAR(B596))</f>
        <v/>
      </c>
    </row>
    <row r="597" customFormat="false" ht="15" hidden="false" customHeight="false" outlineLevel="0" collapsed="false">
      <c r="B597" s="21"/>
      <c r="C597" s="16"/>
      <c r="D597" s="16"/>
      <c r="E597" s="17"/>
      <c r="F597" s="22" t="str">
        <f aca="false">IF(D597="","",IFERROR(INDEX(Setup!$C$8:$C$37,MATCH(D597,Setup!$B$8:$B$37,0)),"Check category"))</f>
        <v/>
      </c>
      <c r="G597" s="23" t="str">
        <f aca="false">IF(B597="","",MONTH(B597))</f>
        <v/>
      </c>
      <c r="H597" s="23" t="str">
        <f aca="false">IF(B597="","",YEAR(B597))</f>
        <v/>
      </c>
    </row>
    <row r="598" customFormat="false" ht="15" hidden="false" customHeight="false" outlineLevel="0" collapsed="false">
      <c r="B598" s="21"/>
      <c r="C598" s="16"/>
      <c r="D598" s="16"/>
      <c r="E598" s="17"/>
      <c r="F598" s="22" t="str">
        <f aca="false">IF(D598="","",IFERROR(INDEX(Setup!$C$8:$C$37,MATCH(D598,Setup!$B$8:$B$37,0)),"Check category"))</f>
        <v/>
      </c>
      <c r="G598" s="23" t="str">
        <f aca="false">IF(B598="","",MONTH(B598))</f>
        <v/>
      </c>
      <c r="H598" s="23" t="str">
        <f aca="false">IF(B598="","",YEAR(B598))</f>
        <v/>
      </c>
    </row>
    <row r="599" customFormat="false" ht="15" hidden="false" customHeight="false" outlineLevel="0" collapsed="false">
      <c r="B599" s="21"/>
      <c r="C599" s="16"/>
      <c r="D599" s="16"/>
      <c r="E599" s="17"/>
      <c r="F599" s="22" t="str">
        <f aca="false">IF(D599="","",IFERROR(INDEX(Setup!$C$8:$C$37,MATCH(D599,Setup!$B$8:$B$37,0)),"Check category"))</f>
        <v/>
      </c>
      <c r="G599" s="23" t="str">
        <f aca="false">IF(B599="","",MONTH(B599))</f>
        <v/>
      </c>
      <c r="H599" s="23" t="str">
        <f aca="false">IF(B599="","",YEAR(B599))</f>
        <v/>
      </c>
    </row>
    <row r="600" customFormat="false" ht="15" hidden="false" customHeight="false" outlineLevel="0" collapsed="false">
      <c r="B600" s="21"/>
      <c r="C600" s="16"/>
      <c r="D600" s="16"/>
      <c r="E600" s="17"/>
      <c r="F600" s="22" t="str">
        <f aca="false">IF(D600="","",IFERROR(INDEX(Setup!$C$8:$C$37,MATCH(D600,Setup!$B$8:$B$37,0)),"Check category"))</f>
        <v/>
      </c>
      <c r="G600" s="23" t="str">
        <f aca="false">IF(B600="","",MONTH(B600))</f>
        <v/>
      </c>
      <c r="H600" s="23" t="str">
        <f aca="false">IF(B600="","",YEAR(B600))</f>
        <v/>
      </c>
    </row>
    <row r="601" customFormat="false" ht="15" hidden="false" customHeight="false" outlineLevel="0" collapsed="false">
      <c r="B601" s="21"/>
      <c r="C601" s="16"/>
      <c r="D601" s="16"/>
      <c r="E601" s="17"/>
      <c r="F601" s="22" t="str">
        <f aca="false">IF(D601="","",IFERROR(INDEX(Setup!$C$8:$C$37,MATCH(D601,Setup!$B$8:$B$37,0)),"Check category"))</f>
        <v/>
      </c>
      <c r="G601" s="23" t="str">
        <f aca="false">IF(B601="","",MONTH(B601))</f>
        <v/>
      </c>
      <c r="H601" s="23" t="str">
        <f aca="false">IF(B601="","",YEAR(B601))</f>
        <v/>
      </c>
    </row>
    <row r="602" customFormat="false" ht="15" hidden="false" customHeight="false" outlineLevel="0" collapsed="false">
      <c r="B602" s="21"/>
      <c r="C602" s="16"/>
      <c r="D602" s="16"/>
      <c r="E602" s="17"/>
      <c r="F602" s="22" t="str">
        <f aca="false">IF(D602="","",IFERROR(INDEX(Setup!$C$8:$C$37,MATCH(D602,Setup!$B$8:$B$37,0)),"Check category"))</f>
        <v/>
      </c>
      <c r="G602" s="23" t="str">
        <f aca="false">IF(B602="","",MONTH(B602))</f>
        <v/>
      </c>
      <c r="H602" s="23" t="str">
        <f aca="false">IF(B602="","",YEAR(B602))</f>
        <v/>
      </c>
    </row>
    <row r="603" customFormat="false" ht="15" hidden="false" customHeight="false" outlineLevel="0" collapsed="false">
      <c r="B603" s="21"/>
      <c r="C603" s="16"/>
      <c r="D603" s="16"/>
      <c r="E603" s="17"/>
      <c r="F603" s="22" t="str">
        <f aca="false">IF(D603="","",IFERROR(INDEX(Setup!$C$8:$C$37,MATCH(D603,Setup!$B$8:$B$37,0)),"Check category"))</f>
        <v/>
      </c>
      <c r="G603" s="23" t="str">
        <f aca="false">IF(B603="","",MONTH(B603))</f>
        <v/>
      </c>
      <c r="H603" s="23" t="str">
        <f aca="false">IF(B603="","",YEAR(B603))</f>
        <v/>
      </c>
    </row>
    <row r="604" customFormat="false" ht="15" hidden="false" customHeight="false" outlineLevel="0" collapsed="false">
      <c r="B604" s="21"/>
      <c r="C604" s="16"/>
      <c r="D604" s="16"/>
      <c r="E604" s="17"/>
      <c r="F604" s="22" t="str">
        <f aca="false">IF(D604="","",IFERROR(INDEX(Setup!$C$8:$C$37,MATCH(D604,Setup!$B$8:$B$37,0)),"Check category"))</f>
        <v/>
      </c>
      <c r="G604" s="23" t="str">
        <f aca="false">IF(B604="","",MONTH(B604))</f>
        <v/>
      </c>
      <c r="H604" s="23" t="str">
        <f aca="false">IF(B604="","",YEAR(B604))</f>
        <v/>
      </c>
    </row>
    <row r="605" customFormat="false" ht="15" hidden="false" customHeight="false" outlineLevel="0" collapsed="false">
      <c r="B605" s="21"/>
      <c r="C605" s="16"/>
      <c r="D605" s="16"/>
      <c r="E605" s="17"/>
      <c r="F605" s="22" t="str">
        <f aca="false">IF(D605="","",IFERROR(INDEX(Setup!$C$8:$C$37,MATCH(D605,Setup!$B$8:$B$37,0)),"Check category"))</f>
        <v/>
      </c>
      <c r="G605" s="23" t="str">
        <f aca="false">IF(B605="","",MONTH(B605))</f>
        <v/>
      </c>
      <c r="H605" s="23" t="str">
        <f aca="false">IF(B605="","",YEAR(B605))</f>
        <v/>
      </c>
    </row>
    <row r="606" customFormat="false" ht="15" hidden="false" customHeight="false" outlineLevel="0" collapsed="false">
      <c r="B606" s="21"/>
      <c r="C606" s="16"/>
      <c r="D606" s="16"/>
      <c r="E606" s="17"/>
      <c r="F606" s="22" t="str">
        <f aca="false">IF(D606="","",IFERROR(INDEX(Setup!$C$8:$C$37,MATCH(D606,Setup!$B$8:$B$37,0)),"Check category"))</f>
        <v/>
      </c>
      <c r="G606" s="23" t="str">
        <f aca="false">IF(B606="","",MONTH(B606))</f>
        <v/>
      </c>
      <c r="H606" s="23" t="str">
        <f aca="false">IF(B606="","",YEAR(B606))</f>
        <v/>
      </c>
    </row>
    <row r="607" customFormat="false" ht="15" hidden="false" customHeight="false" outlineLevel="0" collapsed="false">
      <c r="B607" s="21"/>
      <c r="C607" s="16"/>
      <c r="D607" s="16"/>
      <c r="E607" s="17"/>
      <c r="F607" s="22" t="str">
        <f aca="false">IF(D607="","",IFERROR(INDEX(Setup!$C$8:$C$37,MATCH(D607,Setup!$B$8:$B$37,0)),"Check category"))</f>
        <v/>
      </c>
      <c r="G607" s="23" t="str">
        <f aca="false">IF(B607="","",MONTH(B607))</f>
        <v/>
      </c>
      <c r="H607" s="23" t="str">
        <f aca="false">IF(B607="","",YEAR(B607))</f>
        <v/>
      </c>
    </row>
    <row r="608" customFormat="false" ht="15" hidden="false" customHeight="false" outlineLevel="0" collapsed="false">
      <c r="B608" s="21"/>
      <c r="C608" s="16"/>
      <c r="D608" s="16"/>
      <c r="E608" s="17"/>
      <c r="F608" s="22" t="str">
        <f aca="false">IF(D608="","",IFERROR(INDEX(Setup!$C$8:$C$37,MATCH(D608,Setup!$B$8:$B$37,0)),"Check category"))</f>
        <v/>
      </c>
      <c r="G608" s="23" t="str">
        <f aca="false">IF(B608="","",MONTH(B608))</f>
        <v/>
      </c>
      <c r="H608" s="23" t="str">
        <f aca="false">IF(B608="","",YEAR(B608))</f>
        <v/>
      </c>
    </row>
    <row r="609" customFormat="false" ht="15" hidden="false" customHeight="false" outlineLevel="0" collapsed="false">
      <c r="B609" s="21"/>
      <c r="C609" s="16"/>
      <c r="D609" s="16"/>
      <c r="E609" s="17"/>
      <c r="F609" s="22" t="str">
        <f aca="false">IF(D609="","",IFERROR(INDEX(Setup!$C$8:$C$37,MATCH(D609,Setup!$B$8:$B$37,0)),"Check category"))</f>
        <v/>
      </c>
      <c r="G609" s="23" t="str">
        <f aca="false">IF(B609="","",MONTH(B609))</f>
        <v/>
      </c>
      <c r="H609" s="23" t="str">
        <f aca="false">IF(B609="","",YEAR(B609))</f>
        <v/>
      </c>
    </row>
    <row r="610" customFormat="false" ht="15" hidden="false" customHeight="false" outlineLevel="0" collapsed="false">
      <c r="B610" s="21"/>
      <c r="C610" s="16"/>
      <c r="D610" s="16"/>
      <c r="E610" s="17"/>
      <c r="F610" s="22" t="str">
        <f aca="false">IF(D610="","",IFERROR(INDEX(Setup!$C$8:$C$37,MATCH(D610,Setup!$B$8:$B$37,0)),"Check category"))</f>
        <v/>
      </c>
      <c r="G610" s="23" t="str">
        <f aca="false">IF(B610="","",MONTH(B610))</f>
        <v/>
      </c>
      <c r="H610" s="23" t="str">
        <f aca="false">IF(B610="","",YEAR(B610))</f>
        <v/>
      </c>
    </row>
    <row r="611" customFormat="false" ht="15" hidden="false" customHeight="false" outlineLevel="0" collapsed="false">
      <c r="B611" s="21"/>
      <c r="C611" s="16"/>
      <c r="D611" s="16"/>
      <c r="E611" s="17"/>
      <c r="F611" s="22" t="str">
        <f aca="false">IF(D611="","",IFERROR(INDEX(Setup!$C$8:$C$37,MATCH(D611,Setup!$B$8:$B$37,0)),"Check category"))</f>
        <v/>
      </c>
      <c r="G611" s="23" t="str">
        <f aca="false">IF(B611="","",MONTH(B611))</f>
        <v/>
      </c>
      <c r="H611" s="23" t="str">
        <f aca="false">IF(B611="","",YEAR(B611))</f>
        <v/>
      </c>
    </row>
    <row r="612" customFormat="false" ht="15" hidden="false" customHeight="false" outlineLevel="0" collapsed="false">
      <c r="B612" s="21"/>
      <c r="C612" s="16"/>
      <c r="D612" s="16"/>
      <c r="E612" s="17"/>
      <c r="F612" s="22" t="str">
        <f aca="false">IF(D612="","",IFERROR(INDEX(Setup!$C$8:$C$37,MATCH(D612,Setup!$B$8:$B$37,0)),"Check category"))</f>
        <v/>
      </c>
      <c r="G612" s="23" t="str">
        <f aca="false">IF(B612="","",MONTH(B612))</f>
        <v/>
      </c>
      <c r="H612" s="23" t="str">
        <f aca="false">IF(B612="","",YEAR(B612))</f>
        <v/>
      </c>
    </row>
    <row r="613" customFormat="false" ht="15" hidden="false" customHeight="false" outlineLevel="0" collapsed="false">
      <c r="B613" s="21"/>
      <c r="C613" s="16"/>
      <c r="D613" s="16"/>
      <c r="E613" s="17"/>
      <c r="F613" s="22" t="str">
        <f aca="false">IF(D613="","",IFERROR(INDEX(Setup!$C$8:$C$37,MATCH(D613,Setup!$B$8:$B$37,0)),"Check category"))</f>
        <v/>
      </c>
      <c r="G613" s="23" t="str">
        <f aca="false">IF(B613="","",MONTH(B613))</f>
        <v/>
      </c>
      <c r="H613" s="23" t="str">
        <f aca="false">IF(B613="","",YEAR(B613))</f>
        <v/>
      </c>
    </row>
    <row r="614" customFormat="false" ht="15" hidden="false" customHeight="false" outlineLevel="0" collapsed="false">
      <c r="B614" s="21"/>
      <c r="C614" s="16"/>
      <c r="D614" s="16"/>
      <c r="E614" s="17"/>
      <c r="F614" s="22" t="str">
        <f aca="false">IF(D614="","",IFERROR(INDEX(Setup!$C$8:$C$37,MATCH(D614,Setup!$B$8:$B$37,0)),"Check category"))</f>
        <v/>
      </c>
      <c r="G614" s="23" t="str">
        <f aca="false">IF(B614="","",MONTH(B614))</f>
        <v/>
      </c>
      <c r="H614" s="23" t="str">
        <f aca="false">IF(B614="","",YEAR(B614))</f>
        <v/>
      </c>
    </row>
    <row r="615" customFormat="false" ht="15" hidden="false" customHeight="false" outlineLevel="0" collapsed="false">
      <c r="B615" s="21"/>
      <c r="C615" s="16"/>
      <c r="D615" s="16"/>
      <c r="E615" s="17"/>
      <c r="F615" s="22" t="str">
        <f aca="false">IF(D615="","",IFERROR(INDEX(Setup!$C$8:$C$37,MATCH(D615,Setup!$B$8:$B$37,0)),"Check category"))</f>
        <v/>
      </c>
      <c r="G615" s="23" t="str">
        <f aca="false">IF(B615="","",MONTH(B615))</f>
        <v/>
      </c>
      <c r="H615" s="23" t="str">
        <f aca="false">IF(B615="","",YEAR(B615))</f>
        <v/>
      </c>
    </row>
    <row r="616" customFormat="false" ht="15" hidden="false" customHeight="false" outlineLevel="0" collapsed="false">
      <c r="B616" s="21"/>
      <c r="C616" s="16"/>
      <c r="D616" s="16"/>
      <c r="E616" s="17"/>
      <c r="F616" s="22" t="str">
        <f aca="false">IF(D616="","",IFERROR(INDEX(Setup!$C$8:$C$37,MATCH(D616,Setup!$B$8:$B$37,0)),"Check category"))</f>
        <v/>
      </c>
      <c r="G616" s="23" t="str">
        <f aca="false">IF(B616="","",MONTH(B616))</f>
        <v/>
      </c>
      <c r="H616" s="23" t="str">
        <f aca="false">IF(B616="","",YEAR(B616))</f>
        <v/>
      </c>
    </row>
    <row r="617" customFormat="false" ht="15" hidden="false" customHeight="false" outlineLevel="0" collapsed="false">
      <c r="B617" s="21"/>
      <c r="C617" s="16"/>
      <c r="D617" s="16"/>
      <c r="E617" s="17"/>
      <c r="F617" s="22" t="str">
        <f aca="false">IF(D617="","",IFERROR(INDEX(Setup!$C$8:$C$37,MATCH(D617,Setup!$B$8:$B$37,0)),"Check category"))</f>
        <v/>
      </c>
      <c r="G617" s="23" t="str">
        <f aca="false">IF(B617="","",MONTH(B617))</f>
        <v/>
      </c>
      <c r="H617" s="23" t="str">
        <f aca="false">IF(B617="","",YEAR(B617))</f>
        <v/>
      </c>
    </row>
    <row r="618" customFormat="false" ht="15" hidden="false" customHeight="false" outlineLevel="0" collapsed="false">
      <c r="B618" s="21"/>
      <c r="C618" s="16"/>
      <c r="D618" s="16"/>
      <c r="E618" s="17"/>
      <c r="F618" s="22" t="str">
        <f aca="false">IF(D618="","",IFERROR(INDEX(Setup!$C$8:$C$37,MATCH(D618,Setup!$B$8:$B$37,0)),"Check category"))</f>
        <v/>
      </c>
      <c r="G618" s="23" t="str">
        <f aca="false">IF(B618="","",MONTH(B618))</f>
        <v/>
      </c>
      <c r="H618" s="23" t="str">
        <f aca="false">IF(B618="","",YEAR(B618))</f>
        <v/>
      </c>
    </row>
    <row r="619" customFormat="false" ht="15" hidden="false" customHeight="false" outlineLevel="0" collapsed="false">
      <c r="B619" s="21"/>
      <c r="C619" s="16"/>
      <c r="D619" s="16"/>
      <c r="E619" s="17"/>
      <c r="F619" s="22" t="str">
        <f aca="false">IF(D619="","",IFERROR(INDEX(Setup!$C$8:$C$37,MATCH(D619,Setup!$B$8:$B$37,0)),"Check category"))</f>
        <v/>
      </c>
      <c r="G619" s="23" t="str">
        <f aca="false">IF(B619="","",MONTH(B619))</f>
        <v/>
      </c>
      <c r="H619" s="23" t="str">
        <f aca="false">IF(B619="","",YEAR(B619))</f>
        <v/>
      </c>
    </row>
    <row r="620" customFormat="false" ht="15" hidden="false" customHeight="false" outlineLevel="0" collapsed="false">
      <c r="B620" s="21"/>
      <c r="C620" s="16"/>
      <c r="D620" s="16"/>
      <c r="E620" s="17"/>
      <c r="F620" s="22" t="str">
        <f aca="false">IF(D620="","",IFERROR(INDEX(Setup!$C$8:$C$37,MATCH(D620,Setup!$B$8:$B$37,0)),"Check category"))</f>
        <v/>
      </c>
      <c r="G620" s="23" t="str">
        <f aca="false">IF(B620="","",MONTH(B620))</f>
        <v/>
      </c>
      <c r="H620" s="23" t="str">
        <f aca="false">IF(B620="","",YEAR(B620))</f>
        <v/>
      </c>
    </row>
    <row r="621" customFormat="false" ht="15" hidden="false" customHeight="false" outlineLevel="0" collapsed="false">
      <c r="B621" s="21"/>
      <c r="C621" s="16"/>
      <c r="D621" s="16"/>
      <c r="E621" s="17"/>
      <c r="F621" s="22" t="str">
        <f aca="false">IF(D621="","",IFERROR(INDEX(Setup!$C$8:$C$37,MATCH(D621,Setup!$B$8:$B$37,0)),"Check category"))</f>
        <v/>
      </c>
      <c r="G621" s="23" t="str">
        <f aca="false">IF(B621="","",MONTH(B621))</f>
        <v/>
      </c>
      <c r="H621" s="23" t="str">
        <f aca="false">IF(B621="","",YEAR(B621))</f>
        <v/>
      </c>
    </row>
    <row r="622" customFormat="false" ht="15" hidden="false" customHeight="false" outlineLevel="0" collapsed="false">
      <c r="B622" s="21"/>
      <c r="C622" s="16"/>
      <c r="D622" s="16"/>
      <c r="E622" s="17"/>
      <c r="F622" s="22" t="str">
        <f aca="false">IF(D622="","",IFERROR(INDEX(Setup!$C$8:$C$37,MATCH(D622,Setup!$B$8:$B$37,0)),"Check category"))</f>
        <v/>
      </c>
      <c r="G622" s="23" t="str">
        <f aca="false">IF(B622="","",MONTH(B622))</f>
        <v/>
      </c>
      <c r="H622" s="23" t="str">
        <f aca="false">IF(B622="","",YEAR(B622))</f>
        <v/>
      </c>
    </row>
    <row r="623" customFormat="false" ht="15" hidden="false" customHeight="false" outlineLevel="0" collapsed="false">
      <c r="B623" s="21"/>
      <c r="C623" s="16"/>
      <c r="D623" s="16"/>
      <c r="E623" s="17"/>
      <c r="F623" s="22" t="str">
        <f aca="false">IF(D623="","",IFERROR(INDEX(Setup!$C$8:$C$37,MATCH(D623,Setup!$B$8:$B$37,0)),"Check category"))</f>
        <v/>
      </c>
      <c r="G623" s="23" t="str">
        <f aca="false">IF(B623="","",MONTH(B623))</f>
        <v/>
      </c>
      <c r="H623" s="23" t="str">
        <f aca="false">IF(B623="","",YEAR(B623))</f>
        <v/>
      </c>
    </row>
    <row r="624" customFormat="false" ht="15" hidden="false" customHeight="false" outlineLevel="0" collapsed="false">
      <c r="B624" s="21"/>
      <c r="C624" s="16"/>
      <c r="D624" s="16"/>
      <c r="E624" s="17"/>
      <c r="F624" s="22" t="str">
        <f aca="false">IF(D624="","",IFERROR(INDEX(Setup!$C$8:$C$37,MATCH(D624,Setup!$B$8:$B$37,0)),"Check category"))</f>
        <v/>
      </c>
      <c r="G624" s="23" t="str">
        <f aca="false">IF(B624="","",MONTH(B624))</f>
        <v/>
      </c>
      <c r="H624" s="23" t="str">
        <f aca="false">IF(B624="","",YEAR(B624))</f>
        <v/>
      </c>
    </row>
    <row r="625" customFormat="false" ht="15" hidden="false" customHeight="false" outlineLevel="0" collapsed="false">
      <c r="B625" s="21"/>
      <c r="C625" s="16"/>
      <c r="D625" s="16"/>
      <c r="E625" s="17"/>
      <c r="F625" s="22" t="str">
        <f aca="false">IF(D625="","",IFERROR(INDEX(Setup!$C$8:$C$37,MATCH(D625,Setup!$B$8:$B$37,0)),"Check category"))</f>
        <v/>
      </c>
      <c r="G625" s="23" t="str">
        <f aca="false">IF(B625="","",MONTH(B625))</f>
        <v/>
      </c>
      <c r="H625" s="23" t="str">
        <f aca="false">IF(B625="","",YEAR(B625))</f>
        <v/>
      </c>
    </row>
    <row r="626" customFormat="false" ht="15" hidden="false" customHeight="false" outlineLevel="0" collapsed="false">
      <c r="B626" s="21"/>
      <c r="C626" s="16"/>
      <c r="D626" s="16"/>
      <c r="E626" s="17"/>
      <c r="F626" s="22" t="str">
        <f aca="false">IF(D626="","",IFERROR(INDEX(Setup!$C$8:$C$37,MATCH(D626,Setup!$B$8:$B$37,0)),"Check category"))</f>
        <v/>
      </c>
      <c r="G626" s="23" t="str">
        <f aca="false">IF(B626="","",MONTH(B626))</f>
        <v/>
      </c>
      <c r="H626" s="23" t="str">
        <f aca="false">IF(B626="","",YEAR(B626))</f>
        <v/>
      </c>
    </row>
    <row r="627" customFormat="false" ht="15" hidden="false" customHeight="false" outlineLevel="0" collapsed="false">
      <c r="B627" s="21"/>
      <c r="C627" s="16"/>
      <c r="D627" s="16"/>
      <c r="E627" s="17"/>
      <c r="F627" s="22" t="str">
        <f aca="false">IF(D627="","",IFERROR(INDEX(Setup!$C$8:$C$37,MATCH(D627,Setup!$B$8:$B$37,0)),"Check category"))</f>
        <v/>
      </c>
      <c r="G627" s="23" t="str">
        <f aca="false">IF(B627="","",MONTH(B627))</f>
        <v/>
      </c>
      <c r="H627" s="23" t="str">
        <f aca="false">IF(B627="","",YEAR(B627))</f>
        <v/>
      </c>
    </row>
    <row r="628" customFormat="false" ht="15" hidden="false" customHeight="false" outlineLevel="0" collapsed="false">
      <c r="B628" s="21"/>
      <c r="C628" s="16"/>
      <c r="D628" s="16"/>
      <c r="E628" s="17"/>
      <c r="F628" s="22" t="str">
        <f aca="false">IF(D628="","",IFERROR(INDEX(Setup!$C$8:$C$37,MATCH(D628,Setup!$B$8:$B$37,0)),"Check category"))</f>
        <v/>
      </c>
      <c r="G628" s="23" t="str">
        <f aca="false">IF(B628="","",MONTH(B628))</f>
        <v/>
      </c>
      <c r="H628" s="23" t="str">
        <f aca="false">IF(B628="","",YEAR(B628))</f>
        <v/>
      </c>
    </row>
    <row r="629" customFormat="false" ht="15" hidden="false" customHeight="false" outlineLevel="0" collapsed="false">
      <c r="B629" s="21"/>
      <c r="C629" s="16"/>
      <c r="D629" s="16"/>
      <c r="E629" s="17"/>
      <c r="F629" s="22" t="str">
        <f aca="false">IF(D629="","",IFERROR(INDEX(Setup!$C$8:$C$37,MATCH(D629,Setup!$B$8:$B$37,0)),"Check category"))</f>
        <v/>
      </c>
      <c r="G629" s="23" t="str">
        <f aca="false">IF(B629="","",MONTH(B629))</f>
        <v/>
      </c>
      <c r="H629" s="23" t="str">
        <f aca="false">IF(B629="","",YEAR(B629))</f>
        <v/>
      </c>
    </row>
    <row r="630" customFormat="false" ht="15" hidden="false" customHeight="false" outlineLevel="0" collapsed="false">
      <c r="B630" s="21"/>
      <c r="C630" s="16"/>
      <c r="D630" s="16"/>
      <c r="E630" s="17"/>
      <c r="F630" s="22" t="str">
        <f aca="false">IF(D630="","",IFERROR(INDEX(Setup!$C$8:$C$37,MATCH(D630,Setup!$B$8:$B$37,0)),"Check category"))</f>
        <v/>
      </c>
      <c r="G630" s="23" t="str">
        <f aca="false">IF(B630="","",MONTH(B630))</f>
        <v/>
      </c>
      <c r="H630" s="23" t="str">
        <f aca="false">IF(B630="","",YEAR(B630))</f>
        <v/>
      </c>
    </row>
    <row r="631" customFormat="false" ht="15" hidden="false" customHeight="false" outlineLevel="0" collapsed="false">
      <c r="B631" s="21"/>
      <c r="C631" s="16"/>
      <c r="D631" s="16"/>
      <c r="E631" s="17"/>
      <c r="F631" s="22" t="str">
        <f aca="false">IF(D631="","",IFERROR(INDEX(Setup!$C$8:$C$37,MATCH(D631,Setup!$B$8:$B$37,0)),"Check category"))</f>
        <v/>
      </c>
      <c r="G631" s="23" t="str">
        <f aca="false">IF(B631="","",MONTH(B631))</f>
        <v/>
      </c>
      <c r="H631" s="23" t="str">
        <f aca="false">IF(B631="","",YEAR(B631))</f>
        <v/>
      </c>
    </row>
    <row r="632" customFormat="false" ht="15" hidden="false" customHeight="false" outlineLevel="0" collapsed="false">
      <c r="B632" s="21"/>
      <c r="C632" s="16"/>
      <c r="D632" s="16"/>
      <c r="E632" s="17"/>
      <c r="F632" s="22" t="str">
        <f aca="false">IF(D632="","",IFERROR(INDEX(Setup!$C$8:$C$37,MATCH(D632,Setup!$B$8:$B$37,0)),"Check category"))</f>
        <v/>
      </c>
      <c r="G632" s="23" t="str">
        <f aca="false">IF(B632="","",MONTH(B632))</f>
        <v/>
      </c>
      <c r="H632" s="23" t="str">
        <f aca="false">IF(B632="","",YEAR(B632))</f>
        <v/>
      </c>
    </row>
    <row r="633" customFormat="false" ht="15" hidden="false" customHeight="false" outlineLevel="0" collapsed="false">
      <c r="B633" s="21"/>
      <c r="C633" s="16"/>
      <c r="D633" s="16"/>
      <c r="E633" s="17"/>
      <c r="F633" s="22" t="str">
        <f aca="false">IF(D633="","",IFERROR(INDEX(Setup!$C$8:$C$37,MATCH(D633,Setup!$B$8:$B$37,0)),"Check category"))</f>
        <v/>
      </c>
      <c r="G633" s="23" t="str">
        <f aca="false">IF(B633="","",MONTH(B633))</f>
        <v/>
      </c>
      <c r="H633" s="23" t="str">
        <f aca="false">IF(B633="","",YEAR(B633))</f>
        <v/>
      </c>
    </row>
    <row r="634" customFormat="false" ht="15" hidden="false" customHeight="false" outlineLevel="0" collapsed="false">
      <c r="B634" s="21"/>
      <c r="C634" s="16"/>
      <c r="D634" s="16"/>
      <c r="E634" s="17"/>
      <c r="F634" s="22" t="str">
        <f aca="false">IF(D634="","",IFERROR(INDEX(Setup!$C$8:$C$37,MATCH(D634,Setup!$B$8:$B$37,0)),"Check category"))</f>
        <v/>
      </c>
      <c r="G634" s="23" t="str">
        <f aca="false">IF(B634="","",MONTH(B634))</f>
        <v/>
      </c>
      <c r="H634" s="23" t="str">
        <f aca="false">IF(B634="","",YEAR(B634))</f>
        <v/>
      </c>
    </row>
    <row r="635" customFormat="false" ht="15" hidden="false" customHeight="false" outlineLevel="0" collapsed="false">
      <c r="B635" s="21"/>
      <c r="C635" s="16"/>
      <c r="D635" s="16"/>
      <c r="E635" s="17"/>
      <c r="F635" s="22" t="str">
        <f aca="false">IF(D635="","",IFERROR(INDEX(Setup!$C$8:$C$37,MATCH(D635,Setup!$B$8:$B$37,0)),"Check category"))</f>
        <v/>
      </c>
      <c r="G635" s="23" t="str">
        <f aca="false">IF(B635="","",MONTH(B635))</f>
        <v/>
      </c>
      <c r="H635" s="23" t="str">
        <f aca="false">IF(B635="","",YEAR(B635))</f>
        <v/>
      </c>
    </row>
    <row r="636" customFormat="false" ht="15" hidden="false" customHeight="false" outlineLevel="0" collapsed="false">
      <c r="B636" s="21"/>
      <c r="C636" s="16"/>
      <c r="D636" s="16"/>
      <c r="E636" s="17"/>
      <c r="F636" s="22" t="str">
        <f aca="false">IF(D636="","",IFERROR(INDEX(Setup!$C$8:$C$37,MATCH(D636,Setup!$B$8:$B$37,0)),"Check category"))</f>
        <v/>
      </c>
      <c r="G636" s="23" t="str">
        <f aca="false">IF(B636="","",MONTH(B636))</f>
        <v/>
      </c>
      <c r="H636" s="23" t="str">
        <f aca="false">IF(B636="","",YEAR(B636))</f>
        <v/>
      </c>
    </row>
    <row r="637" customFormat="false" ht="15" hidden="false" customHeight="false" outlineLevel="0" collapsed="false">
      <c r="B637" s="21"/>
      <c r="C637" s="16"/>
      <c r="D637" s="16"/>
      <c r="E637" s="17"/>
      <c r="F637" s="22" t="str">
        <f aca="false">IF(D637="","",IFERROR(INDEX(Setup!$C$8:$C$37,MATCH(D637,Setup!$B$8:$B$37,0)),"Check category"))</f>
        <v/>
      </c>
      <c r="G637" s="23" t="str">
        <f aca="false">IF(B637="","",MONTH(B637))</f>
        <v/>
      </c>
      <c r="H637" s="23" t="str">
        <f aca="false">IF(B637="","",YEAR(B637))</f>
        <v/>
      </c>
    </row>
    <row r="638" customFormat="false" ht="15" hidden="false" customHeight="false" outlineLevel="0" collapsed="false">
      <c r="B638" s="21"/>
      <c r="C638" s="16"/>
      <c r="D638" s="16"/>
      <c r="E638" s="17"/>
      <c r="F638" s="22" t="str">
        <f aca="false">IF(D638="","",IFERROR(INDEX(Setup!$C$8:$C$37,MATCH(D638,Setup!$B$8:$B$37,0)),"Check category"))</f>
        <v/>
      </c>
      <c r="G638" s="23" t="str">
        <f aca="false">IF(B638="","",MONTH(B638))</f>
        <v/>
      </c>
      <c r="H638" s="23" t="str">
        <f aca="false">IF(B638="","",YEAR(B638))</f>
        <v/>
      </c>
    </row>
    <row r="639" customFormat="false" ht="15" hidden="false" customHeight="false" outlineLevel="0" collapsed="false">
      <c r="B639" s="21"/>
      <c r="C639" s="16"/>
      <c r="D639" s="16"/>
      <c r="E639" s="17"/>
      <c r="F639" s="22" t="str">
        <f aca="false">IF(D639="","",IFERROR(INDEX(Setup!$C$8:$C$37,MATCH(D639,Setup!$B$8:$B$37,0)),"Check category"))</f>
        <v/>
      </c>
      <c r="G639" s="23" t="str">
        <f aca="false">IF(B639="","",MONTH(B639))</f>
        <v/>
      </c>
      <c r="H639" s="23" t="str">
        <f aca="false">IF(B639="","",YEAR(B639))</f>
        <v/>
      </c>
    </row>
    <row r="640" customFormat="false" ht="15" hidden="false" customHeight="false" outlineLevel="0" collapsed="false">
      <c r="B640" s="21"/>
      <c r="C640" s="16"/>
      <c r="D640" s="16"/>
      <c r="E640" s="17"/>
      <c r="F640" s="22" t="str">
        <f aca="false">IF(D640="","",IFERROR(INDEX(Setup!$C$8:$C$37,MATCH(D640,Setup!$B$8:$B$37,0)),"Check category"))</f>
        <v/>
      </c>
      <c r="G640" s="23" t="str">
        <f aca="false">IF(B640="","",MONTH(B640))</f>
        <v/>
      </c>
      <c r="H640" s="23" t="str">
        <f aca="false">IF(B640="","",YEAR(B640))</f>
        <v/>
      </c>
    </row>
    <row r="641" customFormat="false" ht="15" hidden="false" customHeight="false" outlineLevel="0" collapsed="false">
      <c r="B641" s="21"/>
      <c r="C641" s="16"/>
      <c r="D641" s="16"/>
      <c r="E641" s="17"/>
      <c r="F641" s="22" t="str">
        <f aca="false">IF(D641="","",IFERROR(INDEX(Setup!$C$8:$C$37,MATCH(D641,Setup!$B$8:$B$37,0)),"Check category"))</f>
        <v/>
      </c>
      <c r="G641" s="23" t="str">
        <f aca="false">IF(B641="","",MONTH(B641))</f>
        <v/>
      </c>
      <c r="H641" s="23" t="str">
        <f aca="false">IF(B641="","",YEAR(B641))</f>
        <v/>
      </c>
    </row>
    <row r="642" customFormat="false" ht="15" hidden="false" customHeight="false" outlineLevel="0" collapsed="false">
      <c r="B642" s="21"/>
      <c r="C642" s="16"/>
      <c r="D642" s="16"/>
      <c r="E642" s="17"/>
      <c r="F642" s="22" t="str">
        <f aca="false">IF(D642="","",IFERROR(INDEX(Setup!$C$8:$C$37,MATCH(D642,Setup!$B$8:$B$37,0)),"Check category"))</f>
        <v/>
      </c>
      <c r="G642" s="23" t="str">
        <f aca="false">IF(B642="","",MONTH(B642))</f>
        <v/>
      </c>
      <c r="H642" s="23" t="str">
        <f aca="false">IF(B642="","",YEAR(B642))</f>
        <v/>
      </c>
    </row>
    <row r="643" customFormat="false" ht="15" hidden="false" customHeight="false" outlineLevel="0" collapsed="false">
      <c r="B643" s="21"/>
      <c r="C643" s="16"/>
      <c r="D643" s="16"/>
      <c r="E643" s="17"/>
      <c r="F643" s="22" t="str">
        <f aca="false">IF(D643="","",IFERROR(INDEX(Setup!$C$8:$C$37,MATCH(D643,Setup!$B$8:$B$37,0)),"Check category"))</f>
        <v/>
      </c>
      <c r="G643" s="23" t="str">
        <f aca="false">IF(B643="","",MONTH(B643))</f>
        <v/>
      </c>
      <c r="H643" s="23" t="str">
        <f aca="false">IF(B643="","",YEAR(B643))</f>
        <v/>
      </c>
    </row>
    <row r="644" customFormat="false" ht="15" hidden="false" customHeight="false" outlineLevel="0" collapsed="false">
      <c r="B644" s="21"/>
      <c r="C644" s="16"/>
      <c r="D644" s="16"/>
      <c r="E644" s="17"/>
      <c r="F644" s="22" t="str">
        <f aca="false">IF(D644="","",IFERROR(INDEX(Setup!$C$8:$C$37,MATCH(D644,Setup!$B$8:$B$37,0)),"Check category"))</f>
        <v/>
      </c>
      <c r="G644" s="23" t="str">
        <f aca="false">IF(B644="","",MONTH(B644))</f>
        <v/>
      </c>
      <c r="H644" s="23" t="str">
        <f aca="false">IF(B644="","",YEAR(B644))</f>
        <v/>
      </c>
    </row>
    <row r="645" customFormat="false" ht="15" hidden="false" customHeight="false" outlineLevel="0" collapsed="false">
      <c r="B645" s="21"/>
      <c r="C645" s="16"/>
      <c r="D645" s="16"/>
      <c r="E645" s="17"/>
      <c r="F645" s="22" t="str">
        <f aca="false">IF(D645="","",IFERROR(INDEX(Setup!$C$8:$C$37,MATCH(D645,Setup!$B$8:$B$37,0)),"Check category"))</f>
        <v/>
      </c>
      <c r="G645" s="23" t="str">
        <f aca="false">IF(B645="","",MONTH(B645))</f>
        <v/>
      </c>
      <c r="H645" s="23" t="str">
        <f aca="false">IF(B645="","",YEAR(B645))</f>
        <v/>
      </c>
    </row>
    <row r="646" customFormat="false" ht="15" hidden="false" customHeight="false" outlineLevel="0" collapsed="false">
      <c r="B646" s="21"/>
      <c r="C646" s="16"/>
      <c r="D646" s="16"/>
      <c r="E646" s="17"/>
      <c r="F646" s="22" t="str">
        <f aca="false">IF(D646="","",IFERROR(INDEX(Setup!$C$8:$C$37,MATCH(D646,Setup!$B$8:$B$37,0)),"Check category"))</f>
        <v/>
      </c>
      <c r="G646" s="23" t="str">
        <f aca="false">IF(B646="","",MONTH(B646))</f>
        <v/>
      </c>
      <c r="H646" s="23" t="str">
        <f aca="false">IF(B646="","",YEAR(B646))</f>
        <v/>
      </c>
    </row>
    <row r="647" customFormat="false" ht="15" hidden="false" customHeight="false" outlineLevel="0" collapsed="false">
      <c r="B647" s="21"/>
      <c r="C647" s="16"/>
      <c r="D647" s="16"/>
      <c r="E647" s="17"/>
      <c r="F647" s="22" t="str">
        <f aca="false">IF(D647="","",IFERROR(INDEX(Setup!$C$8:$C$37,MATCH(D647,Setup!$B$8:$B$37,0)),"Check category"))</f>
        <v/>
      </c>
      <c r="G647" s="23" t="str">
        <f aca="false">IF(B647="","",MONTH(B647))</f>
        <v/>
      </c>
      <c r="H647" s="23" t="str">
        <f aca="false">IF(B647="","",YEAR(B647))</f>
        <v/>
      </c>
    </row>
    <row r="648" customFormat="false" ht="15" hidden="false" customHeight="false" outlineLevel="0" collapsed="false">
      <c r="B648" s="21"/>
      <c r="C648" s="16"/>
      <c r="D648" s="16"/>
      <c r="E648" s="17"/>
      <c r="F648" s="22" t="str">
        <f aca="false">IF(D648="","",IFERROR(INDEX(Setup!$C$8:$C$37,MATCH(D648,Setup!$B$8:$B$37,0)),"Check category"))</f>
        <v/>
      </c>
      <c r="G648" s="23" t="str">
        <f aca="false">IF(B648="","",MONTH(B648))</f>
        <v/>
      </c>
      <c r="H648" s="23" t="str">
        <f aca="false">IF(B648="","",YEAR(B648))</f>
        <v/>
      </c>
    </row>
    <row r="649" customFormat="false" ht="15" hidden="false" customHeight="false" outlineLevel="0" collapsed="false">
      <c r="B649" s="21"/>
      <c r="C649" s="16"/>
      <c r="D649" s="16"/>
      <c r="E649" s="17"/>
      <c r="F649" s="22" t="str">
        <f aca="false">IF(D649="","",IFERROR(INDEX(Setup!$C$8:$C$37,MATCH(D649,Setup!$B$8:$B$37,0)),"Check category"))</f>
        <v/>
      </c>
      <c r="G649" s="23" t="str">
        <f aca="false">IF(B649="","",MONTH(B649))</f>
        <v/>
      </c>
      <c r="H649" s="23" t="str">
        <f aca="false">IF(B649="","",YEAR(B649))</f>
        <v/>
      </c>
    </row>
    <row r="650" customFormat="false" ht="15" hidden="false" customHeight="false" outlineLevel="0" collapsed="false">
      <c r="B650" s="21"/>
      <c r="C650" s="16"/>
      <c r="D650" s="16"/>
      <c r="E650" s="17"/>
      <c r="F650" s="22" t="str">
        <f aca="false">IF(D650="","",IFERROR(INDEX(Setup!$C$8:$C$37,MATCH(D650,Setup!$B$8:$B$37,0)),"Check category"))</f>
        <v/>
      </c>
      <c r="G650" s="23" t="str">
        <f aca="false">IF(B650="","",MONTH(B650))</f>
        <v/>
      </c>
      <c r="H650" s="23" t="str">
        <f aca="false">IF(B650="","",YEAR(B650))</f>
        <v/>
      </c>
    </row>
    <row r="651" customFormat="false" ht="15" hidden="false" customHeight="false" outlineLevel="0" collapsed="false">
      <c r="B651" s="21"/>
      <c r="C651" s="16"/>
      <c r="D651" s="16"/>
      <c r="E651" s="17"/>
      <c r="F651" s="22" t="str">
        <f aca="false">IF(D651="","",IFERROR(INDEX(Setup!$C$8:$C$37,MATCH(D651,Setup!$B$8:$B$37,0)),"Check category"))</f>
        <v/>
      </c>
      <c r="G651" s="23" t="str">
        <f aca="false">IF(B651="","",MONTH(B651))</f>
        <v/>
      </c>
      <c r="H651" s="23" t="str">
        <f aca="false">IF(B651="","",YEAR(B651))</f>
        <v/>
      </c>
    </row>
    <row r="652" customFormat="false" ht="15" hidden="false" customHeight="false" outlineLevel="0" collapsed="false">
      <c r="B652" s="21"/>
      <c r="C652" s="16"/>
      <c r="D652" s="16"/>
      <c r="E652" s="17"/>
      <c r="F652" s="22" t="str">
        <f aca="false">IF(D652="","",IFERROR(INDEX(Setup!$C$8:$C$37,MATCH(D652,Setup!$B$8:$B$37,0)),"Check category"))</f>
        <v/>
      </c>
      <c r="G652" s="23" t="str">
        <f aca="false">IF(B652="","",MONTH(B652))</f>
        <v/>
      </c>
      <c r="H652" s="23" t="str">
        <f aca="false">IF(B652="","",YEAR(B652))</f>
        <v/>
      </c>
    </row>
    <row r="653" customFormat="false" ht="15" hidden="false" customHeight="false" outlineLevel="0" collapsed="false">
      <c r="B653" s="21"/>
      <c r="C653" s="16"/>
      <c r="D653" s="16"/>
      <c r="E653" s="17"/>
      <c r="F653" s="22" t="str">
        <f aca="false">IF(D653="","",IFERROR(INDEX(Setup!$C$8:$C$37,MATCH(D653,Setup!$B$8:$B$37,0)),"Check category"))</f>
        <v/>
      </c>
      <c r="G653" s="23" t="str">
        <f aca="false">IF(B653="","",MONTH(B653))</f>
        <v/>
      </c>
      <c r="H653" s="23" t="str">
        <f aca="false">IF(B653="","",YEAR(B653))</f>
        <v/>
      </c>
    </row>
    <row r="654" customFormat="false" ht="15" hidden="false" customHeight="false" outlineLevel="0" collapsed="false">
      <c r="B654" s="21"/>
      <c r="C654" s="16"/>
      <c r="D654" s="16"/>
      <c r="E654" s="17"/>
      <c r="F654" s="22" t="str">
        <f aca="false">IF(D654="","",IFERROR(INDEX(Setup!$C$8:$C$37,MATCH(D654,Setup!$B$8:$B$37,0)),"Check category"))</f>
        <v/>
      </c>
      <c r="G654" s="23" t="str">
        <f aca="false">IF(B654="","",MONTH(B654))</f>
        <v/>
      </c>
      <c r="H654" s="23" t="str">
        <f aca="false">IF(B654="","",YEAR(B654))</f>
        <v/>
      </c>
    </row>
    <row r="655" customFormat="false" ht="15" hidden="false" customHeight="false" outlineLevel="0" collapsed="false">
      <c r="B655" s="21"/>
      <c r="C655" s="16"/>
      <c r="D655" s="16"/>
      <c r="E655" s="17"/>
      <c r="F655" s="22" t="str">
        <f aca="false">IF(D655="","",IFERROR(INDEX(Setup!$C$8:$C$37,MATCH(D655,Setup!$B$8:$B$37,0)),"Check category"))</f>
        <v/>
      </c>
      <c r="G655" s="23" t="str">
        <f aca="false">IF(B655="","",MONTH(B655))</f>
        <v/>
      </c>
      <c r="H655" s="23" t="str">
        <f aca="false">IF(B655="","",YEAR(B655))</f>
        <v/>
      </c>
    </row>
    <row r="656" customFormat="false" ht="15" hidden="false" customHeight="false" outlineLevel="0" collapsed="false">
      <c r="B656" s="21"/>
      <c r="C656" s="16"/>
      <c r="D656" s="16"/>
      <c r="E656" s="17"/>
      <c r="F656" s="22" t="str">
        <f aca="false">IF(D656="","",IFERROR(INDEX(Setup!$C$8:$C$37,MATCH(D656,Setup!$B$8:$B$37,0)),"Check category"))</f>
        <v/>
      </c>
      <c r="G656" s="23" t="str">
        <f aca="false">IF(B656="","",MONTH(B656))</f>
        <v/>
      </c>
      <c r="H656" s="23" t="str">
        <f aca="false">IF(B656="","",YEAR(B656))</f>
        <v/>
      </c>
    </row>
    <row r="657" customFormat="false" ht="15" hidden="false" customHeight="false" outlineLevel="0" collapsed="false">
      <c r="B657" s="21"/>
      <c r="C657" s="16"/>
      <c r="D657" s="16"/>
      <c r="E657" s="17"/>
      <c r="F657" s="22" t="str">
        <f aca="false">IF(D657="","",IFERROR(INDEX(Setup!$C$8:$C$37,MATCH(D657,Setup!$B$8:$B$37,0)),"Check category"))</f>
        <v/>
      </c>
      <c r="G657" s="23" t="str">
        <f aca="false">IF(B657="","",MONTH(B657))</f>
        <v/>
      </c>
      <c r="H657" s="23" t="str">
        <f aca="false">IF(B657="","",YEAR(B657))</f>
        <v/>
      </c>
    </row>
    <row r="658" customFormat="false" ht="15" hidden="false" customHeight="false" outlineLevel="0" collapsed="false">
      <c r="B658" s="21"/>
      <c r="C658" s="16"/>
      <c r="D658" s="16"/>
      <c r="E658" s="17"/>
      <c r="F658" s="22" t="str">
        <f aca="false">IF(D658="","",IFERROR(INDEX(Setup!$C$8:$C$37,MATCH(D658,Setup!$B$8:$B$37,0)),"Check category"))</f>
        <v/>
      </c>
      <c r="G658" s="23" t="str">
        <f aca="false">IF(B658="","",MONTH(B658))</f>
        <v/>
      </c>
      <c r="H658" s="23" t="str">
        <f aca="false">IF(B658="","",YEAR(B658))</f>
        <v/>
      </c>
    </row>
    <row r="659" customFormat="false" ht="15" hidden="false" customHeight="false" outlineLevel="0" collapsed="false">
      <c r="B659" s="21"/>
      <c r="C659" s="16"/>
      <c r="D659" s="16"/>
      <c r="E659" s="17"/>
      <c r="F659" s="22" t="str">
        <f aca="false">IF(D659="","",IFERROR(INDEX(Setup!$C$8:$C$37,MATCH(D659,Setup!$B$8:$B$37,0)),"Check category"))</f>
        <v/>
      </c>
      <c r="G659" s="23" t="str">
        <f aca="false">IF(B659="","",MONTH(B659))</f>
        <v/>
      </c>
      <c r="H659" s="23" t="str">
        <f aca="false">IF(B659="","",YEAR(B659))</f>
        <v/>
      </c>
    </row>
    <row r="660" customFormat="false" ht="15" hidden="false" customHeight="false" outlineLevel="0" collapsed="false">
      <c r="B660" s="21"/>
      <c r="C660" s="16"/>
      <c r="D660" s="16"/>
      <c r="E660" s="17"/>
      <c r="F660" s="22" t="str">
        <f aca="false">IF(D660="","",IFERROR(INDEX(Setup!$C$8:$C$37,MATCH(D660,Setup!$B$8:$B$37,0)),"Check category"))</f>
        <v/>
      </c>
      <c r="G660" s="23" t="str">
        <f aca="false">IF(B660="","",MONTH(B660))</f>
        <v/>
      </c>
      <c r="H660" s="23" t="str">
        <f aca="false">IF(B660="","",YEAR(B660))</f>
        <v/>
      </c>
    </row>
    <row r="661" customFormat="false" ht="15" hidden="false" customHeight="false" outlineLevel="0" collapsed="false">
      <c r="B661" s="21"/>
      <c r="C661" s="16"/>
      <c r="D661" s="16"/>
      <c r="E661" s="17"/>
      <c r="F661" s="22" t="str">
        <f aca="false">IF(D661="","",IFERROR(INDEX(Setup!$C$8:$C$37,MATCH(D661,Setup!$B$8:$B$37,0)),"Check category"))</f>
        <v/>
      </c>
      <c r="G661" s="23" t="str">
        <f aca="false">IF(B661="","",MONTH(B661))</f>
        <v/>
      </c>
      <c r="H661" s="23" t="str">
        <f aca="false">IF(B661="","",YEAR(B661))</f>
        <v/>
      </c>
    </row>
    <row r="662" customFormat="false" ht="15" hidden="false" customHeight="false" outlineLevel="0" collapsed="false">
      <c r="B662" s="21"/>
      <c r="C662" s="16"/>
      <c r="D662" s="16"/>
      <c r="E662" s="17"/>
      <c r="F662" s="22" t="str">
        <f aca="false">IF(D662="","",IFERROR(INDEX(Setup!$C$8:$C$37,MATCH(D662,Setup!$B$8:$B$37,0)),"Check category"))</f>
        <v/>
      </c>
      <c r="G662" s="23" t="str">
        <f aca="false">IF(B662="","",MONTH(B662))</f>
        <v/>
      </c>
      <c r="H662" s="23" t="str">
        <f aca="false">IF(B662="","",YEAR(B662))</f>
        <v/>
      </c>
    </row>
    <row r="663" customFormat="false" ht="15" hidden="false" customHeight="false" outlineLevel="0" collapsed="false">
      <c r="B663" s="21"/>
      <c r="C663" s="16"/>
      <c r="D663" s="16"/>
      <c r="E663" s="17"/>
      <c r="F663" s="22" t="str">
        <f aca="false">IF(D663="","",IFERROR(INDEX(Setup!$C$8:$C$37,MATCH(D663,Setup!$B$8:$B$37,0)),"Check category"))</f>
        <v/>
      </c>
      <c r="G663" s="23" t="str">
        <f aca="false">IF(B663="","",MONTH(B663))</f>
        <v/>
      </c>
      <c r="H663" s="23" t="str">
        <f aca="false">IF(B663="","",YEAR(B663))</f>
        <v/>
      </c>
    </row>
    <row r="664" customFormat="false" ht="15" hidden="false" customHeight="false" outlineLevel="0" collapsed="false">
      <c r="B664" s="21"/>
      <c r="C664" s="16"/>
      <c r="D664" s="16"/>
      <c r="E664" s="17"/>
      <c r="F664" s="22" t="str">
        <f aca="false">IF(D664="","",IFERROR(INDEX(Setup!$C$8:$C$37,MATCH(D664,Setup!$B$8:$B$37,0)),"Check category"))</f>
        <v/>
      </c>
      <c r="G664" s="23" t="str">
        <f aca="false">IF(B664="","",MONTH(B664))</f>
        <v/>
      </c>
      <c r="H664" s="23" t="str">
        <f aca="false">IF(B664="","",YEAR(B664))</f>
        <v/>
      </c>
    </row>
    <row r="665" customFormat="false" ht="15" hidden="false" customHeight="false" outlineLevel="0" collapsed="false">
      <c r="B665" s="21"/>
      <c r="C665" s="16"/>
      <c r="D665" s="16"/>
      <c r="E665" s="17"/>
      <c r="F665" s="22" t="str">
        <f aca="false">IF(D665="","",IFERROR(INDEX(Setup!$C$8:$C$37,MATCH(D665,Setup!$B$8:$B$37,0)),"Check category"))</f>
        <v/>
      </c>
      <c r="G665" s="23" t="str">
        <f aca="false">IF(B665="","",MONTH(B665))</f>
        <v/>
      </c>
      <c r="H665" s="23" t="str">
        <f aca="false">IF(B665="","",YEAR(B665))</f>
        <v/>
      </c>
    </row>
    <row r="666" customFormat="false" ht="15" hidden="false" customHeight="false" outlineLevel="0" collapsed="false">
      <c r="B666" s="21"/>
      <c r="C666" s="16"/>
      <c r="D666" s="16"/>
      <c r="E666" s="17"/>
      <c r="F666" s="22" t="str">
        <f aca="false">IF(D666="","",IFERROR(INDEX(Setup!$C$8:$C$37,MATCH(D666,Setup!$B$8:$B$37,0)),"Check category"))</f>
        <v/>
      </c>
      <c r="G666" s="23" t="str">
        <f aca="false">IF(B666="","",MONTH(B666))</f>
        <v/>
      </c>
      <c r="H666" s="23" t="str">
        <f aca="false">IF(B666="","",YEAR(B666))</f>
        <v/>
      </c>
    </row>
    <row r="667" customFormat="false" ht="15" hidden="false" customHeight="false" outlineLevel="0" collapsed="false">
      <c r="B667" s="21"/>
      <c r="C667" s="16"/>
      <c r="D667" s="16"/>
      <c r="E667" s="17"/>
      <c r="F667" s="22" t="str">
        <f aca="false">IF(D667="","",IFERROR(INDEX(Setup!$C$8:$C$37,MATCH(D667,Setup!$B$8:$B$37,0)),"Check category"))</f>
        <v/>
      </c>
      <c r="G667" s="23" t="str">
        <f aca="false">IF(B667="","",MONTH(B667))</f>
        <v/>
      </c>
      <c r="H667" s="23" t="str">
        <f aca="false">IF(B667="","",YEAR(B667))</f>
        <v/>
      </c>
    </row>
    <row r="668" customFormat="false" ht="15" hidden="false" customHeight="false" outlineLevel="0" collapsed="false">
      <c r="B668" s="21"/>
      <c r="C668" s="16"/>
      <c r="D668" s="16"/>
      <c r="E668" s="17"/>
      <c r="F668" s="22" t="str">
        <f aca="false">IF(D668="","",IFERROR(INDEX(Setup!$C$8:$C$37,MATCH(D668,Setup!$B$8:$B$37,0)),"Check category"))</f>
        <v/>
      </c>
      <c r="G668" s="23" t="str">
        <f aca="false">IF(B668="","",MONTH(B668))</f>
        <v/>
      </c>
      <c r="H668" s="23" t="str">
        <f aca="false">IF(B668="","",YEAR(B668))</f>
        <v/>
      </c>
    </row>
    <row r="669" customFormat="false" ht="15" hidden="false" customHeight="false" outlineLevel="0" collapsed="false">
      <c r="B669" s="21"/>
      <c r="C669" s="16"/>
      <c r="D669" s="16"/>
      <c r="E669" s="17"/>
      <c r="F669" s="22" t="str">
        <f aca="false">IF(D669="","",IFERROR(INDEX(Setup!$C$8:$C$37,MATCH(D669,Setup!$B$8:$B$37,0)),"Check category"))</f>
        <v/>
      </c>
      <c r="G669" s="23" t="str">
        <f aca="false">IF(B669="","",MONTH(B669))</f>
        <v/>
      </c>
      <c r="H669" s="23" t="str">
        <f aca="false">IF(B669="","",YEAR(B669))</f>
        <v/>
      </c>
    </row>
    <row r="670" customFormat="false" ht="15" hidden="false" customHeight="false" outlineLevel="0" collapsed="false">
      <c r="B670" s="21"/>
      <c r="C670" s="16"/>
      <c r="D670" s="16"/>
      <c r="E670" s="17"/>
      <c r="F670" s="22" t="str">
        <f aca="false">IF(D670="","",IFERROR(INDEX(Setup!$C$8:$C$37,MATCH(D670,Setup!$B$8:$B$37,0)),"Check category"))</f>
        <v/>
      </c>
      <c r="G670" s="23" t="str">
        <f aca="false">IF(B670="","",MONTH(B670))</f>
        <v/>
      </c>
      <c r="H670" s="23" t="str">
        <f aca="false">IF(B670="","",YEAR(B670))</f>
        <v/>
      </c>
    </row>
    <row r="671" customFormat="false" ht="15" hidden="false" customHeight="false" outlineLevel="0" collapsed="false">
      <c r="B671" s="21"/>
      <c r="C671" s="16"/>
      <c r="D671" s="16"/>
      <c r="E671" s="17"/>
      <c r="F671" s="22" t="str">
        <f aca="false">IF(D671="","",IFERROR(INDEX(Setup!$C$8:$C$37,MATCH(D671,Setup!$B$8:$B$37,0)),"Check category"))</f>
        <v/>
      </c>
      <c r="G671" s="23" t="str">
        <f aca="false">IF(B671="","",MONTH(B671))</f>
        <v/>
      </c>
      <c r="H671" s="23" t="str">
        <f aca="false">IF(B671="","",YEAR(B671))</f>
        <v/>
      </c>
    </row>
    <row r="672" customFormat="false" ht="15" hidden="false" customHeight="false" outlineLevel="0" collapsed="false">
      <c r="B672" s="21"/>
      <c r="C672" s="16"/>
      <c r="D672" s="16"/>
      <c r="E672" s="17"/>
      <c r="F672" s="22" t="str">
        <f aca="false">IF(D672="","",IFERROR(INDEX(Setup!$C$8:$C$37,MATCH(D672,Setup!$B$8:$B$37,0)),"Check category"))</f>
        <v/>
      </c>
      <c r="G672" s="23" t="str">
        <f aca="false">IF(B672="","",MONTH(B672))</f>
        <v/>
      </c>
      <c r="H672" s="23" t="str">
        <f aca="false">IF(B672="","",YEAR(B672))</f>
        <v/>
      </c>
    </row>
    <row r="673" customFormat="false" ht="15" hidden="false" customHeight="false" outlineLevel="0" collapsed="false">
      <c r="B673" s="21"/>
      <c r="C673" s="16"/>
      <c r="D673" s="16"/>
      <c r="E673" s="17"/>
      <c r="F673" s="22" t="str">
        <f aca="false">IF(D673="","",IFERROR(INDEX(Setup!$C$8:$C$37,MATCH(D673,Setup!$B$8:$B$37,0)),"Check category"))</f>
        <v/>
      </c>
      <c r="G673" s="23" t="str">
        <f aca="false">IF(B673="","",MONTH(B673))</f>
        <v/>
      </c>
      <c r="H673" s="23" t="str">
        <f aca="false">IF(B673="","",YEAR(B673))</f>
        <v/>
      </c>
    </row>
    <row r="674" customFormat="false" ht="15" hidden="false" customHeight="false" outlineLevel="0" collapsed="false">
      <c r="B674" s="21"/>
      <c r="C674" s="16"/>
      <c r="D674" s="16"/>
      <c r="E674" s="17"/>
      <c r="F674" s="22" t="str">
        <f aca="false">IF(D674="","",IFERROR(INDEX(Setup!$C$8:$C$37,MATCH(D674,Setup!$B$8:$B$37,0)),"Check category"))</f>
        <v/>
      </c>
      <c r="G674" s="23" t="str">
        <f aca="false">IF(B674="","",MONTH(B674))</f>
        <v/>
      </c>
      <c r="H674" s="23" t="str">
        <f aca="false">IF(B674="","",YEAR(B674))</f>
        <v/>
      </c>
    </row>
    <row r="675" customFormat="false" ht="15" hidden="false" customHeight="false" outlineLevel="0" collapsed="false">
      <c r="B675" s="21"/>
      <c r="C675" s="16"/>
      <c r="D675" s="16"/>
      <c r="E675" s="17"/>
      <c r="F675" s="22" t="str">
        <f aca="false">IF(D675="","",IFERROR(INDEX(Setup!$C$8:$C$37,MATCH(D675,Setup!$B$8:$B$37,0)),"Check category"))</f>
        <v/>
      </c>
      <c r="G675" s="23" t="str">
        <f aca="false">IF(B675="","",MONTH(B675))</f>
        <v/>
      </c>
      <c r="H675" s="23" t="str">
        <f aca="false">IF(B675="","",YEAR(B675))</f>
        <v/>
      </c>
    </row>
    <row r="676" customFormat="false" ht="15" hidden="false" customHeight="false" outlineLevel="0" collapsed="false">
      <c r="B676" s="21"/>
      <c r="C676" s="16"/>
      <c r="D676" s="16"/>
      <c r="E676" s="17"/>
      <c r="F676" s="22" t="str">
        <f aca="false">IF(D676="","",IFERROR(INDEX(Setup!$C$8:$C$37,MATCH(D676,Setup!$B$8:$B$37,0)),"Check category"))</f>
        <v/>
      </c>
      <c r="G676" s="23" t="str">
        <f aca="false">IF(B676="","",MONTH(B676))</f>
        <v/>
      </c>
      <c r="H676" s="23" t="str">
        <f aca="false">IF(B676="","",YEAR(B676))</f>
        <v/>
      </c>
    </row>
    <row r="677" customFormat="false" ht="15" hidden="false" customHeight="false" outlineLevel="0" collapsed="false">
      <c r="B677" s="21"/>
      <c r="C677" s="16"/>
      <c r="D677" s="16"/>
      <c r="E677" s="17"/>
      <c r="F677" s="22" t="str">
        <f aca="false">IF(D677="","",IFERROR(INDEX(Setup!$C$8:$C$37,MATCH(D677,Setup!$B$8:$B$37,0)),"Check category"))</f>
        <v/>
      </c>
      <c r="G677" s="23" t="str">
        <f aca="false">IF(B677="","",MONTH(B677))</f>
        <v/>
      </c>
      <c r="H677" s="23" t="str">
        <f aca="false">IF(B677="","",YEAR(B677))</f>
        <v/>
      </c>
    </row>
    <row r="678" customFormat="false" ht="15" hidden="false" customHeight="false" outlineLevel="0" collapsed="false">
      <c r="B678" s="21"/>
      <c r="C678" s="16"/>
      <c r="D678" s="16"/>
      <c r="E678" s="17"/>
      <c r="F678" s="22" t="str">
        <f aca="false">IF(D678="","",IFERROR(INDEX(Setup!$C$8:$C$37,MATCH(D678,Setup!$B$8:$B$37,0)),"Check category"))</f>
        <v/>
      </c>
      <c r="G678" s="23" t="str">
        <f aca="false">IF(B678="","",MONTH(B678))</f>
        <v/>
      </c>
      <c r="H678" s="23" t="str">
        <f aca="false">IF(B678="","",YEAR(B678))</f>
        <v/>
      </c>
    </row>
    <row r="679" customFormat="false" ht="15" hidden="false" customHeight="false" outlineLevel="0" collapsed="false">
      <c r="B679" s="21"/>
      <c r="C679" s="16"/>
      <c r="D679" s="16"/>
      <c r="E679" s="17"/>
      <c r="F679" s="22" t="str">
        <f aca="false">IF(D679="","",IFERROR(INDEX(Setup!$C$8:$C$37,MATCH(D679,Setup!$B$8:$B$37,0)),"Check category"))</f>
        <v/>
      </c>
      <c r="G679" s="23" t="str">
        <f aca="false">IF(B679="","",MONTH(B679))</f>
        <v/>
      </c>
      <c r="H679" s="23" t="str">
        <f aca="false">IF(B679="","",YEAR(B679))</f>
        <v/>
      </c>
    </row>
    <row r="680" customFormat="false" ht="15" hidden="false" customHeight="false" outlineLevel="0" collapsed="false">
      <c r="B680" s="21"/>
      <c r="C680" s="16"/>
      <c r="D680" s="16"/>
      <c r="E680" s="17"/>
      <c r="F680" s="22" t="str">
        <f aca="false">IF(D680="","",IFERROR(INDEX(Setup!$C$8:$C$37,MATCH(D680,Setup!$B$8:$B$37,0)),"Check category"))</f>
        <v/>
      </c>
      <c r="G680" s="23" t="str">
        <f aca="false">IF(B680="","",MONTH(B680))</f>
        <v/>
      </c>
      <c r="H680" s="23" t="str">
        <f aca="false">IF(B680="","",YEAR(B680))</f>
        <v/>
      </c>
    </row>
    <row r="681" customFormat="false" ht="15" hidden="false" customHeight="false" outlineLevel="0" collapsed="false">
      <c r="B681" s="21"/>
      <c r="C681" s="16"/>
      <c r="D681" s="16"/>
      <c r="E681" s="17"/>
      <c r="F681" s="22" t="str">
        <f aca="false">IF(D681="","",IFERROR(INDEX(Setup!$C$8:$C$37,MATCH(D681,Setup!$B$8:$B$37,0)),"Check category"))</f>
        <v/>
      </c>
      <c r="G681" s="23" t="str">
        <f aca="false">IF(B681="","",MONTH(B681))</f>
        <v/>
      </c>
      <c r="H681" s="23" t="str">
        <f aca="false">IF(B681="","",YEAR(B681))</f>
        <v/>
      </c>
    </row>
    <row r="682" customFormat="false" ht="15" hidden="false" customHeight="false" outlineLevel="0" collapsed="false">
      <c r="B682" s="21"/>
      <c r="C682" s="16"/>
      <c r="D682" s="16"/>
      <c r="E682" s="17"/>
      <c r="F682" s="22" t="str">
        <f aca="false">IF(D682="","",IFERROR(INDEX(Setup!$C$8:$C$37,MATCH(D682,Setup!$B$8:$B$37,0)),"Check category"))</f>
        <v/>
      </c>
      <c r="G682" s="23" t="str">
        <f aca="false">IF(B682="","",MONTH(B682))</f>
        <v/>
      </c>
      <c r="H682" s="23" t="str">
        <f aca="false">IF(B682="","",YEAR(B682))</f>
        <v/>
      </c>
    </row>
    <row r="683" customFormat="false" ht="15" hidden="false" customHeight="false" outlineLevel="0" collapsed="false">
      <c r="B683" s="21"/>
      <c r="C683" s="16"/>
      <c r="D683" s="16"/>
      <c r="E683" s="17"/>
      <c r="F683" s="22" t="str">
        <f aca="false">IF(D683="","",IFERROR(INDEX(Setup!$C$8:$C$37,MATCH(D683,Setup!$B$8:$B$37,0)),"Check category"))</f>
        <v/>
      </c>
      <c r="G683" s="23" t="str">
        <f aca="false">IF(B683="","",MONTH(B683))</f>
        <v/>
      </c>
      <c r="H683" s="23" t="str">
        <f aca="false">IF(B683="","",YEAR(B683))</f>
        <v/>
      </c>
    </row>
    <row r="684" customFormat="false" ht="15" hidden="false" customHeight="false" outlineLevel="0" collapsed="false">
      <c r="B684" s="21"/>
      <c r="C684" s="16"/>
      <c r="D684" s="16"/>
      <c r="E684" s="17"/>
      <c r="F684" s="22" t="str">
        <f aca="false">IF(D684="","",IFERROR(INDEX(Setup!$C$8:$C$37,MATCH(D684,Setup!$B$8:$B$37,0)),"Check category"))</f>
        <v/>
      </c>
      <c r="G684" s="23" t="str">
        <f aca="false">IF(B684="","",MONTH(B684))</f>
        <v/>
      </c>
      <c r="H684" s="23" t="str">
        <f aca="false">IF(B684="","",YEAR(B684))</f>
        <v/>
      </c>
    </row>
    <row r="685" customFormat="false" ht="15" hidden="false" customHeight="false" outlineLevel="0" collapsed="false">
      <c r="B685" s="21"/>
      <c r="C685" s="16"/>
      <c r="D685" s="16"/>
      <c r="E685" s="17"/>
      <c r="F685" s="22" t="str">
        <f aca="false">IF(D685="","",IFERROR(INDEX(Setup!$C$8:$C$37,MATCH(D685,Setup!$B$8:$B$37,0)),"Check category"))</f>
        <v/>
      </c>
      <c r="G685" s="23" t="str">
        <f aca="false">IF(B685="","",MONTH(B685))</f>
        <v/>
      </c>
      <c r="H685" s="23" t="str">
        <f aca="false">IF(B685="","",YEAR(B685))</f>
        <v/>
      </c>
    </row>
    <row r="686" customFormat="false" ht="15" hidden="false" customHeight="false" outlineLevel="0" collapsed="false">
      <c r="B686" s="21"/>
      <c r="C686" s="16"/>
      <c r="D686" s="16"/>
      <c r="E686" s="17"/>
      <c r="F686" s="22" t="str">
        <f aca="false">IF(D686="","",IFERROR(INDEX(Setup!$C$8:$C$37,MATCH(D686,Setup!$B$8:$B$37,0)),"Check category"))</f>
        <v/>
      </c>
      <c r="G686" s="23" t="str">
        <f aca="false">IF(B686="","",MONTH(B686))</f>
        <v/>
      </c>
      <c r="H686" s="23" t="str">
        <f aca="false">IF(B686="","",YEAR(B686))</f>
        <v/>
      </c>
    </row>
    <row r="687" customFormat="false" ht="15" hidden="false" customHeight="false" outlineLevel="0" collapsed="false">
      <c r="B687" s="21"/>
      <c r="C687" s="16"/>
      <c r="D687" s="16"/>
      <c r="E687" s="17"/>
      <c r="F687" s="22" t="str">
        <f aca="false">IF(D687="","",IFERROR(INDEX(Setup!$C$8:$C$37,MATCH(D687,Setup!$B$8:$B$37,0)),"Check category"))</f>
        <v/>
      </c>
      <c r="G687" s="23" t="str">
        <f aca="false">IF(B687="","",MONTH(B687))</f>
        <v/>
      </c>
      <c r="H687" s="23" t="str">
        <f aca="false">IF(B687="","",YEAR(B687))</f>
        <v/>
      </c>
    </row>
    <row r="688" customFormat="false" ht="15" hidden="false" customHeight="false" outlineLevel="0" collapsed="false">
      <c r="B688" s="21"/>
      <c r="C688" s="16"/>
      <c r="D688" s="16"/>
      <c r="E688" s="17"/>
      <c r="F688" s="22" t="str">
        <f aca="false">IF(D688="","",IFERROR(INDEX(Setup!$C$8:$C$37,MATCH(D688,Setup!$B$8:$B$37,0)),"Check category"))</f>
        <v/>
      </c>
      <c r="G688" s="23" t="str">
        <f aca="false">IF(B688="","",MONTH(B688))</f>
        <v/>
      </c>
      <c r="H688" s="23" t="str">
        <f aca="false">IF(B688="","",YEAR(B688))</f>
        <v/>
      </c>
    </row>
    <row r="689" customFormat="false" ht="15" hidden="false" customHeight="false" outlineLevel="0" collapsed="false">
      <c r="B689" s="21"/>
      <c r="C689" s="16"/>
      <c r="D689" s="16"/>
      <c r="E689" s="17"/>
      <c r="F689" s="22" t="str">
        <f aca="false">IF(D689="","",IFERROR(INDEX(Setup!$C$8:$C$37,MATCH(D689,Setup!$B$8:$B$37,0)),"Check category"))</f>
        <v/>
      </c>
      <c r="G689" s="23" t="str">
        <f aca="false">IF(B689="","",MONTH(B689))</f>
        <v/>
      </c>
      <c r="H689" s="23" t="str">
        <f aca="false">IF(B689="","",YEAR(B689))</f>
        <v/>
      </c>
    </row>
    <row r="690" customFormat="false" ht="15" hidden="false" customHeight="false" outlineLevel="0" collapsed="false">
      <c r="B690" s="21"/>
      <c r="C690" s="16"/>
      <c r="D690" s="16"/>
      <c r="E690" s="17"/>
      <c r="F690" s="22" t="str">
        <f aca="false">IF(D690="","",IFERROR(INDEX(Setup!$C$8:$C$37,MATCH(D690,Setup!$B$8:$B$37,0)),"Check category"))</f>
        <v/>
      </c>
      <c r="G690" s="23" t="str">
        <f aca="false">IF(B690="","",MONTH(B690))</f>
        <v/>
      </c>
      <c r="H690" s="23" t="str">
        <f aca="false">IF(B690="","",YEAR(B690))</f>
        <v/>
      </c>
    </row>
    <row r="691" customFormat="false" ht="15" hidden="false" customHeight="false" outlineLevel="0" collapsed="false">
      <c r="B691" s="21"/>
      <c r="C691" s="16"/>
      <c r="D691" s="16"/>
      <c r="E691" s="17"/>
      <c r="F691" s="22" t="str">
        <f aca="false">IF(D691="","",IFERROR(INDEX(Setup!$C$8:$C$37,MATCH(D691,Setup!$B$8:$B$37,0)),"Check category"))</f>
        <v/>
      </c>
      <c r="G691" s="23" t="str">
        <f aca="false">IF(B691="","",MONTH(B691))</f>
        <v/>
      </c>
      <c r="H691" s="23" t="str">
        <f aca="false">IF(B691="","",YEAR(B691))</f>
        <v/>
      </c>
    </row>
    <row r="692" customFormat="false" ht="15" hidden="false" customHeight="false" outlineLevel="0" collapsed="false">
      <c r="B692" s="21"/>
      <c r="C692" s="16"/>
      <c r="D692" s="16"/>
      <c r="E692" s="17"/>
      <c r="F692" s="22" t="str">
        <f aca="false">IF(D692="","",IFERROR(INDEX(Setup!$C$8:$C$37,MATCH(D692,Setup!$B$8:$B$37,0)),"Check category"))</f>
        <v/>
      </c>
      <c r="G692" s="23" t="str">
        <f aca="false">IF(B692="","",MONTH(B692))</f>
        <v/>
      </c>
      <c r="H692" s="23" t="str">
        <f aca="false">IF(B692="","",YEAR(B692))</f>
        <v/>
      </c>
    </row>
    <row r="693" customFormat="false" ht="15" hidden="false" customHeight="false" outlineLevel="0" collapsed="false">
      <c r="B693" s="21"/>
      <c r="C693" s="16"/>
      <c r="D693" s="16"/>
      <c r="E693" s="17"/>
      <c r="F693" s="22" t="str">
        <f aca="false">IF(D693="","",IFERROR(INDEX(Setup!$C$8:$C$37,MATCH(D693,Setup!$B$8:$B$37,0)),"Check category"))</f>
        <v/>
      </c>
      <c r="G693" s="23" t="str">
        <f aca="false">IF(B693="","",MONTH(B693))</f>
        <v/>
      </c>
      <c r="H693" s="23" t="str">
        <f aca="false">IF(B693="","",YEAR(B693))</f>
        <v/>
      </c>
    </row>
    <row r="694" customFormat="false" ht="15" hidden="false" customHeight="false" outlineLevel="0" collapsed="false">
      <c r="B694" s="21"/>
      <c r="C694" s="16"/>
      <c r="D694" s="16"/>
      <c r="E694" s="17"/>
      <c r="F694" s="22" t="str">
        <f aca="false">IF(D694="","",IFERROR(INDEX(Setup!$C$8:$C$37,MATCH(D694,Setup!$B$8:$B$37,0)),"Check category"))</f>
        <v/>
      </c>
      <c r="G694" s="23" t="str">
        <f aca="false">IF(B694="","",MONTH(B694))</f>
        <v/>
      </c>
      <c r="H694" s="23" t="str">
        <f aca="false">IF(B694="","",YEAR(B694))</f>
        <v/>
      </c>
    </row>
    <row r="695" customFormat="false" ht="15" hidden="false" customHeight="false" outlineLevel="0" collapsed="false">
      <c r="B695" s="21"/>
      <c r="C695" s="16"/>
      <c r="D695" s="16"/>
      <c r="E695" s="17"/>
      <c r="F695" s="22" t="str">
        <f aca="false">IF(D695="","",IFERROR(INDEX(Setup!$C$8:$C$37,MATCH(D695,Setup!$B$8:$B$37,0)),"Check category"))</f>
        <v/>
      </c>
      <c r="G695" s="23" t="str">
        <f aca="false">IF(B695="","",MONTH(B695))</f>
        <v/>
      </c>
      <c r="H695" s="23" t="str">
        <f aca="false">IF(B695="","",YEAR(B695))</f>
        <v/>
      </c>
    </row>
    <row r="696" customFormat="false" ht="15" hidden="false" customHeight="false" outlineLevel="0" collapsed="false">
      <c r="B696" s="21"/>
      <c r="C696" s="16"/>
      <c r="D696" s="16"/>
      <c r="E696" s="17"/>
      <c r="F696" s="22" t="str">
        <f aca="false">IF(D696="","",IFERROR(INDEX(Setup!$C$8:$C$37,MATCH(D696,Setup!$B$8:$B$37,0)),"Check category"))</f>
        <v/>
      </c>
      <c r="G696" s="23" t="str">
        <f aca="false">IF(B696="","",MONTH(B696))</f>
        <v/>
      </c>
      <c r="H696" s="23" t="str">
        <f aca="false">IF(B696="","",YEAR(B696))</f>
        <v/>
      </c>
    </row>
    <row r="697" customFormat="false" ht="15" hidden="false" customHeight="false" outlineLevel="0" collapsed="false">
      <c r="B697" s="21"/>
      <c r="C697" s="16"/>
      <c r="D697" s="16"/>
      <c r="E697" s="17"/>
      <c r="F697" s="22" t="str">
        <f aca="false">IF(D697="","",IFERROR(INDEX(Setup!$C$8:$C$37,MATCH(D697,Setup!$B$8:$B$37,0)),"Check category"))</f>
        <v/>
      </c>
      <c r="G697" s="23" t="str">
        <f aca="false">IF(B697="","",MONTH(B697))</f>
        <v/>
      </c>
      <c r="H697" s="23" t="str">
        <f aca="false">IF(B697="","",YEAR(B697))</f>
        <v/>
      </c>
    </row>
    <row r="698" customFormat="false" ht="15" hidden="false" customHeight="false" outlineLevel="0" collapsed="false">
      <c r="B698" s="21"/>
      <c r="C698" s="16"/>
      <c r="D698" s="16"/>
      <c r="E698" s="17"/>
      <c r="F698" s="22" t="str">
        <f aca="false">IF(D698="","",IFERROR(INDEX(Setup!$C$8:$C$37,MATCH(D698,Setup!$B$8:$B$37,0)),"Check category"))</f>
        <v/>
      </c>
      <c r="G698" s="23" t="str">
        <f aca="false">IF(B698="","",MONTH(B698))</f>
        <v/>
      </c>
      <c r="H698" s="23" t="str">
        <f aca="false">IF(B698="","",YEAR(B698))</f>
        <v/>
      </c>
    </row>
    <row r="699" customFormat="false" ht="15" hidden="false" customHeight="false" outlineLevel="0" collapsed="false">
      <c r="B699" s="21"/>
      <c r="C699" s="16"/>
      <c r="D699" s="16"/>
      <c r="E699" s="17"/>
      <c r="F699" s="22" t="str">
        <f aca="false">IF(D699="","",IFERROR(INDEX(Setup!$C$8:$C$37,MATCH(D699,Setup!$B$8:$B$37,0)),"Check category"))</f>
        <v/>
      </c>
      <c r="G699" s="23" t="str">
        <f aca="false">IF(B699="","",MONTH(B699))</f>
        <v/>
      </c>
      <c r="H699" s="23" t="str">
        <f aca="false">IF(B699="","",YEAR(B699))</f>
        <v/>
      </c>
    </row>
    <row r="700" customFormat="false" ht="15" hidden="false" customHeight="false" outlineLevel="0" collapsed="false">
      <c r="B700" s="21"/>
      <c r="C700" s="16"/>
      <c r="D700" s="16"/>
      <c r="E700" s="17"/>
      <c r="F700" s="22" t="str">
        <f aca="false">IF(D700="","",IFERROR(INDEX(Setup!$C$8:$C$37,MATCH(D700,Setup!$B$8:$B$37,0)),"Check category"))</f>
        <v/>
      </c>
      <c r="G700" s="23" t="str">
        <f aca="false">IF(B700="","",MONTH(B700))</f>
        <v/>
      </c>
      <c r="H700" s="23" t="str">
        <f aca="false">IF(B700="","",YEAR(B700))</f>
        <v/>
      </c>
    </row>
    <row r="701" customFormat="false" ht="15" hidden="false" customHeight="false" outlineLevel="0" collapsed="false">
      <c r="B701" s="21"/>
      <c r="C701" s="16"/>
      <c r="D701" s="16"/>
      <c r="E701" s="17"/>
      <c r="F701" s="22" t="str">
        <f aca="false">IF(D701="","",IFERROR(INDEX(Setup!$C$8:$C$37,MATCH(D701,Setup!$B$8:$B$37,0)),"Check category"))</f>
        <v/>
      </c>
      <c r="G701" s="23" t="str">
        <f aca="false">IF(B701="","",MONTH(B701))</f>
        <v/>
      </c>
      <c r="H701" s="23" t="str">
        <f aca="false">IF(B701="","",YEAR(B701))</f>
        <v/>
      </c>
    </row>
    <row r="702" customFormat="false" ht="15" hidden="false" customHeight="false" outlineLevel="0" collapsed="false">
      <c r="B702" s="21"/>
      <c r="C702" s="16"/>
      <c r="D702" s="16"/>
      <c r="E702" s="17"/>
      <c r="F702" s="22" t="str">
        <f aca="false">IF(D702="","",IFERROR(INDEX(Setup!$C$8:$C$37,MATCH(D702,Setup!$B$8:$B$37,0)),"Check category"))</f>
        <v/>
      </c>
      <c r="G702" s="23" t="str">
        <f aca="false">IF(B702="","",MONTH(B702))</f>
        <v/>
      </c>
      <c r="H702" s="23" t="str">
        <f aca="false">IF(B702="","",YEAR(B702))</f>
        <v/>
      </c>
    </row>
    <row r="703" customFormat="false" ht="15" hidden="false" customHeight="false" outlineLevel="0" collapsed="false">
      <c r="B703" s="21"/>
      <c r="C703" s="16"/>
      <c r="D703" s="16"/>
      <c r="E703" s="17"/>
      <c r="F703" s="22" t="str">
        <f aca="false">IF(D703="","",IFERROR(INDEX(Setup!$C$8:$C$37,MATCH(D703,Setup!$B$8:$B$37,0)),"Check category"))</f>
        <v/>
      </c>
      <c r="G703" s="23" t="str">
        <f aca="false">IF(B703="","",MONTH(B703))</f>
        <v/>
      </c>
      <c r="H703" s="23" t="str">
        <f aca="false">IF(B703="","",YEAR(B703))</f>
        <v/>
      </c>
    </row>
    <row r="704" customFormat="false" ht="15" hidden="false" customHeight="false" outlineLevel="0" collapsed="false">
      <c r="B704" s="21"/>
      <c r="C704" s="16"/>
      <c r="D704" s="16"/>
      <c r="E704" s="17"/>
      <c r="F704" s="22" t="str">
        <f aca="false">IF(D704="","",IFERROR(INDEX(Setup!$C$8:$C$37,MATCH(D704,Setup!$B$8:$B$37,0)),"Check category"))</f>
        <v/>
      </c>
      <c r="G704" s="23" t="str">
        <f aca="false">IF(B704="","",MONTH(B704))</f>
        <v/>
      </c>
      <c r="H704" s="23" t="str">
        <f aca="false">IF(B704="","",YEAR(B704))</f>
        <v/>
      </c>
    </row>
    <row r="705" customFormat="false" ht="15" hidden="false" customHeight="false" outlineLevel="0" collapsed="false">
      <c r="B705" s="21"/>
      <c r="C705" s="16"/>
      <c r="D705" s="16"/>
      <c r="E705" s="17"/>
      <c r="F705" s="22" t="str">
        <f aca="false">IF(D705="","",IFERROR(INDEX(Setup!$C$8:$C$37,MATCH(D705,Setup!$B$8:$B$37,0)),"Check category"))</f>
        <v/>
      </c>
      <c r="G705" s="23" t="str">
        <f aca="false">IF(B705="","",MONTH(B705))</f>
        <v/>
      </c>
      <c r="H705" s="23" t="str">
        <f aca="false">IF(B705="","",YEAR(B705))</f>
        <v/>
      </c>
    </row>
    <row r="706" customFormat="false" ht="15" hidden="false" customHeight="false" outlineLevel="0" collapsed="false">
      <c r="B706" s="21"/>
      <c r="C706" s="16"/>
      <c r="D706" s="16"/>
      <c r="E706" s="17"/>
      <c r="F706" s="22" t="str">
        <f aca="false">IF(D706="","",IFERROR(INDEX(Setup!$C$8:$C$37,MATCH(D706,Setup!$B$8:$B$37,0)),"Check category"))</f>
        <v/>
      </c>
      <c r="G706" s="23" t="str">
        <f aca="false">IF(B706="","",MONTH(B706))</f>
        <v/>
      </c>
      <c r="H706" s="23" t="str">
        <f aca="false">IF(B706="","",YEAR(B706))</f>
        <v/>
      </c>
    </row>
    <row r="707" customFormat="false" ht="15" hidden="false" customHeight="false" outlineLevel="0" collapsed="false">
      <c r="B707" s="21"/>
      <c r="C707" s="16"/>
      <c r="D707" s="16"/>
      <c r="E707" s="17"/>
      <c r="F707" s="22" t="str">
        <f aca="false">IF(D707="","",IFERROR(INDEX(Setup!$C$8:$C$37,MATCH(D707,Setup!$B$8:$B$37,0)),"Check category"))</f>
        <v/>
      </c>
      <c r="G707" s="23" t="str">
        <f aca="false">IF(B707="","",MONTH(B707))</f>
        <v/>
      </c>
      <c r="H707" s="23" t="str">
        <f aca="false">IF(B707="","",YEAR(B707))</f>
        <v/>
      </c>
    </row>
    <row r="708" customFormat="false" ht="15" hidden="false" customHeight="false" outlineLevel="0" collapsed="false">
      <c r="B708" s="21"/>
      <c r="C708" s="16"/>
      <c r="D708" s="16"/>
      <c r="E708" s="17"/>
      <c r="F708" s="22" t="str">
        <f aca="false">IF(D708="","",IFERROR(INDEX(Setup!$C$8:$C$37,MATCH(D708,Setup!$B$8:$B$37,0)),"Check category"))</f>
        <v/>
      </c>
      <c r="G708" s="23" t="str">
        <f aca="false">IF(B708="","",MONTH(B708))</f>
        <v/>
      </c>
      <c r="H708" s="23" t="str">
        <f aca="false">IF(B708="","",YEAR(B708))</f>
        <v/>
      </c>
    </row>
    <row r="709" customFormat="false" ht="15" hidden="false" customHeight="false" outlineLevel="0" collapsed="false">
      <c r="B709" s="21"/>
      <c r="C709" s="16"/>
      <c r="D709" s="16"/>
      <c r="E709" s="17"/>
      <c r="F709" s="22" t="str">
        <f aca="false">IF(D709="","",IFERROR(INDEX(Setup!$C$8:$C$37,MATCH(D709,Setup!$B$8:$B$37,0)),"Check category"))</f>
        <v/>
      </c>
      <c r="G709" s="23" t="str">
        <f aca="false">IF(B709="","",MONTH(B709))</f>
        <v/>
      </c>
      <c r="H709" s="23" t="str">
        <f aca="false">IF(B709="","",YEAR(B709))</f>
        <v/>
      </c>
    </row>
    <row r="710" customFormat="false" ht="15" hidden="false" customHeight="false" outlineLevel="0" collapsed="false">
      <c r="B710" s="21"/>
      <c r="C710" s="16"/>
      <c r="D710" s="16"/>
      <c r="E710" s="17"/>
      <c r="F710" s="22" t="str">
        <f aca="false">IF(D710="","",IFERROR(INDEX(Setup!$C$8:$C$37,MATCH(D710,Setup!$B$8:$B$37,0)),"Check category"))</f>
        <v/>
      </c>
      <c r="G710" s="23" t="str">
        <f aca="false">IF(B710="","",MONTH(B710))</f>
        <v/>
      </c>
      <c r="H710" s="23" t="str">
        <f aca="false">IF(B710="","",YEAR(B710))</f>
        <v/>
      </c>
    </row>
    <row r="711" customFormat="false" ht="15" hidden="false" customHeight="false" outlineLevel="0" collapsed="false">
      <c r="B711" s="21"/>
      <c r="C711" s="16"/>
      <c r="D711" s="16"/>
      <c r="E711" s="17"/>
      <c r="F711" s="22" t="str">
        <f aca="false">IF(D711="","",IFERROR(INDEX(Setup!$C$8:$C$37,MATCH(D711,Setup!$B$8:$B$37,0)),"Check category"))</f>
        <v/>
      </c>
      <c r="G711" s="23" t="str">
        <f aca="false">IF(B711="","",MONTH(B711))</f>
        <v/>
      </c>
      <c r="H711" s="23" t="str">
        <f aca="false">IF(B711="","",YEAR(B711))</f>
        <v/>
      </c>
    </row>
    <row r="712" customFormat="false" ht="15" hidden="false" customHeight="false" outlineLevel="0" collapsed="false">
      <c r="B712" s="21"/>
      <c r="C712" s="16"/>
      <c r="D712" s="16"/>
      <c r="E712" s="17"/>
      <c r="F712" s="22" t="str">
        <f aca="false">IF(D712="","",IFERROR(INDEX(Setup!$C$8:$C$37,MATCH(D712,Setup!$B$8:$B$37,0)),"Check category"))</f>
        <v/>
      </c>
      <c r="G712" s="23" t="str">
        <f aca="false">IF(B712="","",MONTH(B712))</f>
        <v/>
      </c>
      <c r="H712" s="23" t="str">
        <f aca="false">IF(B712="","",YEAR(B712))</f>
        <v/>
      </c>
    </row>
    <row r="713" customFormat="false" ht="15" hidden="false" customHeight="false" outlineLevel="0" collapsed="false">
      <c r="B713" s="21"/>
      <c r="C713" s="16"/>
      <c r="D713" s="16"/>
      <c r="E713" s="17"/>
      <c r="F713" s="22" t="str">
        <f aca="false">IF(D713="","",IFERROR(INDEX(Setup!$C$8:$C$37,MATCH(D713,Setup!$B$8:$B$37,0)),"Check category"))</f>
        <v/>
      </c>
      <c r="G713" s="23" t="str">
        <f aca="false">IF(B713="","",MONTH(B713))</f>
        <v/>
      </c>
      <c r="H713" s="23" t="str">
        <f aca="false">IF(B713="","",YEAR(B713))</f>
        <v/>
      </c>
    </row>
    <row r="714" customFormat="false" ht="15" hidden="false" customHeight="false" outlineLevel="0" collapsed="false">
      <c r="B714" s="21"/>
      <c r="C714" s="16"/>
      <c r="D714" s="16"/>
      <c r="E714" s="17"/>
      <c r="F714" s="22" t="str">
        <f aca="false">IF(D714="","",IFERROR(INDEX(Setup!$C$8:$C$37,MATCH(D714,Setup!$B$8:$B$37,0)),"Check category"))</f>
        <v/>
      </c>
      <c r="G714" s="23" t="str">
        <f aca="false">IF(B714="","",MONTH(B714))</f>
        <v/>
      </c>
      <c r="H714" s="23" t="str">
        <f aca="false">IF(B714="","",YEAR(B714))</f>
        <v/>
      </c>
    </row>
    <row r="715" customFormat="false" ht="15" hidden="false" customHeight="false" outlineLevel="0" collapsed="false">
      <c r="B715" s="21"/>
      <c r="C715" s="16"/>
      <c r="D715" s="16"/>
      <c r="E715" s="17"/>
      <c r="F715" s="22" t="str">
        <f aca="false">IF(D715="","",IFERROR(INDEX(Setup!$C$8:$C$37,MATCH(D715,Setup!$B$8:$B$37,0)),"Check category"))</f>
        <v/>
      </c>
      <c r="G715" s="23" t="str">
        <f aca="false">IF(B715="","",MONTH(B715))</f>
        <v/>
      </c>
      <c r="H715" s="23" t="str">
        <f aca="false">IF(B715="","",YEAR(B715))</f>
        <v/>
      </c>
    </row>
    <row r="716" customFormat="false" ht="15" hidden="false" customHeight="false" outlineLevel="0" collapsed="false">
      <c r="B716" s="21"/>
      <c r="C716" s="16"/>
      <c r="D716" s="16"/>
      <c r="E716" s="17"/>
      <c r="F716" s="22" t="str">
        <f aca="false">IF(D716="","",IFERROR(INDEX(Setup!$C$8:$C$37,MATCH(D716,Setup!$B$8:$B$37,0)),"Check category"))</f>
        <v/>
      </c>
      <c r="G716" s="23" t="str">
        <f aca="false">IF(B716="","",MONTH(B716))</f>
        <v/>
      </c>
      <c r="H716" s="23" t="str">
        <f aca="false">IF(B716="","",YEAR(B716))</f>
        <v/>
      </c>
    </row>
    <row r="717" customFormat="false" ht="15" hidden="false" customHeight="false" outlineLevel="0" collapsed="false">
      <c r="B717" s="21"/>
      <c r="C717" s="16"/>
      <c r="D717" s="16"/>
      <c r="E717" s="17"/>
      <c r="F717" s="22" t="str">
        <f aca="false">IF(D717="","",IFERROR(INDEX(Setup!$C$8:$C$37,MATCH(D717,Setup!$B$8:$B$37,0)),"Check category"))</f>
        <v/>
      </c>
      <c r="G717" s="23" t="str">
        <f aca="false">IF(B717="","",MONTH(B717))</f>
        <v/>
      </c>
      <c r="H717" s="23" t="str">
        <f aca="false">IF(B717="","",YEAR(B717))</f>
        <v/>
      </c>
    </row>
    <row r="718" customFormat="false" ht="15" hidden="false" customHeight="false" outlineLevel="0" collapsed="false">
      <c r="B718" s="21"/>
      <c r="C718" s="16"/>
      <c r="D718" s="16"/>
      <c r="E718" s="17"/>
      <c r="F718" s="22" t="str">
        <f aca="false">IF(D718="","",IFERROR(INDEX(Setup!$C$8:$C$37,MATCH(D718,Setup!$B$8:$B$37,0)),"Check category"))</f>
        <v/>
      </c>
      <c r="G718" s="23" t="str">
        <f aca="false">IF(B718="","",MONTH(B718))</f>
        <v/>
      </c>
      <c r="H718" s="23" t="str">
        <f aca="false">IF(B718="","",YEAR(B718))</f>
        <v/>
      </c>
    </row>
    <row r="719" customFormat="false" ht="15" hidden="false" customHeight="false" outlineLevel="0" collapsed="false">
      <c r="B719" s="21"/>
      <c r="C719" s="16"/>
      <c r="D719" s="16"/>
      <c r="E719" s="17"/>
      <c r="F719" s="22" t="str">
        <f aca="false">IF(D719="","",IFERROR(INDEX(Setup!$C$8:$C$37,MATCH(D719,Setup!$B$8:$B$37,0)),"Check category"))</f>
        <v/>
      </c>
      <c r="G719" s="23" t="str">
        <f aca="false">IF(B719="","",MONTH(B719))</f>
        <v/>
      </c>
      <c r="H719" s="23" t="str">
        <f aca="false">IF(B719="","",YEAR(B719))</f>
        <v/>
      </c>
    </row>
    <row r="720" customFormat="false" ht="15" hidden="false" customHeight="false" outlineLevel="0" collapsed="false">
      <c r="B720" s="21"/>
      <c r="C720" s="16"/>
      <c r="D720" s="16"/>
      <c r="E720" s="17"/>
      <c r="F720" s="22" t="str">
        <f aca="false">IF(D720="","",IFERROR(INDEX(Setup!$C$8:$C$37,MATCH(D720,Setup!$B$8:$B$37,0)),"Check category"))</f>
        <v/>
      </c>
      <c r="G720" s="23" t="str">
        <f aca="false">IF(B720="","",MONTH(B720))</f>
        <v/>
      </c>
      <c r="H720" s="23" t="str">
        <f aca="false">IF(B720="","",YEAR(B720))</f>
        <v/>
      </c>
    </row>
    <row r="721" customFormat="false" ht="15" hidden="false" customHeight="false" outlineLevel="0" collapsed="false">
      <c r="B721" s="21"/>
      <c r="C721" s="16"/>
      <c r="D721" s="16"/>
      <c r="E721" s="17"/>
      <c r="F721" s="22" t="str">
        <f aca="false">IF(D721="","",IFERROR(INDEX(Setup!$C$8:$C$37,MATCH(D721,Setup!$B$8:$B$37,0)),"Check category"))</f>
        <v/>
      </c>
      <c r="G721" s="23" t="str">
        <f aca="false">IF(B721="","",MONTH(B721))</f>
        <v/>
      </c>
      <c r="H721" s="23" t="str">
        <f aca="false">IF(B721="","",YEAR(B721))</f>
        <v/>
      </c>
    </row>
    <row r="722" customFormat="false" ht="15" hidden="false" customHeight="false" outlineLevel="0" collapsed="false">
      <c r="B722" s="21"/>
      <c r="C722" s="16"/>
      <c r="D722" s="16"/>
      <c r="E722" s="17"/>
      <c r="F722" s="22" t="str">
        <f aca="false">IF(D722="","",IFERROR(INDEX(Setup!$C$8:$C$37,MATCH(D722,Setup!$B$8:$B$37,0)),"Check category"))</f>
        <v/>
      </c>
      <c r="G722" s="23" t="str">
        <f aca="false">IF(B722="","",MONTH(B722))</f>
        <v/>
      </c>
      <c r="H722" s="23" t="str">
        <f aca="false">IF(B722="","",YEAR(B722))</f>
        <v/>
      </c>
    </row>
    <row r="723" customFormat="false" ht="15" hidden="false" customHeight="false" outlineLevel="0" collapsed="false">
      <c r="B723" s="21"/>
      <c r="C723" s="16"/>
      <c r="D723" s="16"/>
      <c r="E723" s="17"/>
      <c r="F723" s="22" t="str">
        <f aca="false">IF(D723="","",IFERROR(INDEX(Setup!$C$8:$C$37,MATCH(D723,Setup!$B$8:$B$37,0)),"Check category"))</f>
        <v/>
      </c>
      <c r="G723" s="23" t="str">
        <f aca="false">IF(B723="","",MONTH(B723))</f>
        <v/>
      </c>
      <c r="H723" s="23" t="str">
        <f aca="false">IF(B723="","",YEAR(B723))</f>
        <v/>
      </c>
    </row>
    <row r="724" customFormat="false" ht="15" hidden="false" customHeight="false" outlineLevel="0" collapsed="false">
      <c r="B724" s="21"/>
      <c r="C724" s="16"/>
      <c r="D724" s="16"/>
      <c r="E724" s="17"/>
      <c r="F724" s="22" t="str">
        <f aca="false">IF(D724="","",IFERROR(INDEX(Setup!$C$8:$C$37,MATCH(D724,Setup!$B$8:$B$37,0)),"Check category"))</f>
        <v/>
      </c>
      <c r="G724" s="23" t="str">
        <f aca="false">IF(B724="","",MONTH(B724))</f>
        <v/>
      </c>
      <c r="H724" s="23" t="str">
        <f aca="false">IF(B724="","",YEAR(B724))</f>
        <v/>
      </c>
    </row>
    <row r="725" customFormat="false" ht="15" hidden="false" customHeight="false" outlineLevel="0" collapsed="false">
      <c r="B725" s="21"/>
      <c r="C725" s="16"/>
      <c r="D725" s="16"/>
      <c r="E725" s="17"/>
      <c r="F725" s="22" t="str">
        <f aca="false">IF(D725="","",IFERROR(INDEX(Setup!$C$8:$C$37,MATCH(D725,Setup!$B$8:$B$37,0)),"Check category"))</f>
        <v/>
      </c>
      <c r="G725" s="23" t="str">
        <f aca="false">IF(B725="","",MONTH(B725))</f>
        <v/>
      </c>
      <c r="H725" s="23" t="str">
        <f aca="false">IF(B725="","",YEAR(B725))</f>
        <v/>
      </c>
    </row>
    <row r="726" customFormat="false" ht="15" hidden="false" customHeight="false" outlineLevel="0" collapsed="false">
      <c r="B726" s="21"/>
      <c r="C726" s="16"/>
      <c r="D726" s="16"/>
      <c r="E726" s="17"/>
      <c r="F726" s="22" t="str">
        <f aca="false">IF(D726="","",IFERROR(INDEX(Setup!$C$8:$C$37,MATCH(D726,Setup!$B$8:$B$37,0)),"Check category"))</f>
        <v/>
      </c>
      <c r="G726" s="23" t="str">
        <f aca="false">IF(B726="","",MONTH(B726))</f>
        <v/>
      </c>
      <c r="H726" s="23" t="str">
        <f aca="false">IF(B726="","",YEAR(B726))</f>
        <v/>
      </c>
    </row>
    <row r="727" customFormat="false" ht="15" hidden="false" customHeight="false" outlineLevel="0" collapsed="false">
      <c r="B727" s="21"/>
      <c r="C727" s="16"/>
      <c r="D727" s="16"/>
      <c r="E727" s="17"/>
      <c r="F727" s="22" t="str">
        <f aca="false">IF(D727="","",IFERROR(INDEX(Setup!$C$8:$C$37,MATCH(D727,Setup!$B$8:$B$37,0)),"Check category"))</f>
        <v/>
      </c>
      <c r="G727" s="23" t="str">
        <f aca="false">IF(B727="","",MONTH(B727))</f>
        <v/>
      </c>
      <c r="H727" s="23" t="str">
        <f aca="false">IF(B727="","",YEAR(B727))</f>
        <v/>
      </c>
    </row>
    <row r="728" customFormat="false" ht="15" hidden="false" customHeight="false" outlineLevel="0" collapsed="false">
      <c r="B728" s="21"/>
      <c r="C728" s="16"/>
      <c r="D728" s="16"/>
      <c r="E728" s="17"/>
      <c r="F728" s="22" t="str">
        <f aca="false">IF(D728="","",IFERROR(INDEX(Setup!$C$8:$C$37,MATCH(D728,Setup!$B$8:$B$37,0)),"Check category"))</f>
        <v/>
      </c>
      <c r="G728" s="23" t="str">
        <f aca="false">IF(B728="","",MONTH(B728))</f>
        <v/>
      </c>
      <c r="H728" s="23" t="str">
        <f aca="false">IF(B728="","",YEAR(B728))</f>
        <v/>
      </c>
    </row>
    <row r="729" customFormat="false" ht="15" hidden="false" customHeight="false" outlineLevel="0" collapsed="false">
      <c r="B729" s="21"/>
      <c r="C729" s="16"/>
      <c r="D729" s="16"/>
      <c r="E729" s="17"/>
      <c r="F729" s="22" t="str">
        <f aca="false">IF(D729="","",IFERROR(INDEX(Setup!$C$8:$C$37,MATCH(D729,Setup!$B$8:$B$37,0)),"Check category"))</f>
        <v/>
      </c>
      <c r="G729" s="23" t="str">
        <f aca="false">IF(B729="","",MONTH(B729))</f>
        <v/>
      </c>
      <c r="H729" s="23" t="str">
        <f aca="false">IF(B729="","",YEAR(B729))</f>
        <v/>
      </c>
    </row>
    <row r="730" customFormat="false" ht="15" hidden="false" customHeight="false" outlineLevel="0" collapsed="false">
      <c r="B730" s="21"/>
      <c r="C730" s="16"/>
      <c r="D730" s="16"/>
      <c r="E730" s="17"/>
      <c r="F730" s="22" t="str">
        <f aca="false">IF(D730="","",IFERROR(INDEX(Setup!$C$8:$C$37,MATCH(D730,Setup!$B$8:$B$37,0)),"Check category"))</f>
        <v/>
      </c>
      <c r="G730" s="23" t="str">
        <f aca="false">IF(B730="","",MONTH(B730))</f>
        <v/>
      </c>
      <c r="H730" s="23" t="str">
        <f aca="false">IF(B730="","",YEAR(B730))</f>
        <v/>
      </c>
    </row>
    <row r="731" customFormat="false" ht="15" hidden="false" customHeight="false" outlineLevel="0" collapsed="false">
      <c r="B731" s="21"/>
      <c r="C731" s="16"/>
      <c r="D731" s="16"/>
      <c r="E731" s="17"/>
      <c r="F731" s="22" t="str">
        <f aca="false">IF(D731="","",IFERROR(INDEX(Setup!$C$8:$C$37,MATCH(D731,Setup!$B$8:$B$37,0)),"Check category"))</f>
        <v/>
      </c>
      <c r="G731" s="23" t="str">
        <f aca="false">IF(B731="","",MONTH(B731))</f>
        <v/>
      </c>
      <c r="H731" s="23" t="str">
        <f aca="false">IF(B731="","",YEAR(B731))</f>
        <v/>
      </c>
    </row>
    <row r="732" customFormat="false" ht="15" hidden="false" customHeight="false" outlineLevel="0" collapsed="false">
      <c r="B732" s="21"/>
      <c r="C732" s="16"/>
      <c r="D732" s="16"/>
      <c r="E732" s="17"/>
      <c r="F732" s="22" t="str">
        <f aca="false">IF(D732="","",IFERROR(INDEX(Setup!$C$8:$C$37,MATCH(D732,Setup!$B$8:$B$37,0)),"Check category"))</f>
        <v/>
      </c>
      <c r="G732" s="23" t="str">
        <f aca="false">IF(B732="","",MONTH(B732))</f>
        <v/>
      </c>
      <c r="H732" s="23" t="str">
        <f aca="false">IF(B732="","",YEAR(B732))</f>
        <v/>
      </c>
    </row>
    <row r="733" customFormat="false" ht="15" hidden="false" customHeight="false" outlineLevel="0" collapsed="false">
      <c r="B733" s="21"/>
      <c r="C733" s="16"/>
      <c r="D733" s="16"/>
      <c r="E733" s="17"/>
      <c r="F733" s="22" t="str">
        <f aca="false">IF(D733="","",IFERROR(INDEX(Setup!$C$8:$C$37,MATCH(D733,Setup!$B$8:$B$37,0)),"Check category"))</f>
        <v/>
      </c>
      <c r="G733" s="23" t="str">
        <f aca="false">IF(B733="","",MONTH(B733))</f>
        <v/>
      </c>
      <c r="H733" s="23" t="str">
        <f aca="false">IF(B733="","",YEAR(B733))</f>
        <v/>
      </c>
    </row>
    <row r="734" customFormat="false" ht="15" hidden="false" customHeight="false" outlineLevel="0" collapsed="false">
      <c r="B734" s="21"/>
      <c r="C734" s="16"/>
      <c r="D734" s="16"/>
      <c r="E734" s="17"/>
      <c r="F734" s="22" t="str">
        <f aca="false">IF(D734="","",IFERROR(INDEX(Setup!$C$8:$C$37,MATCH(D734,Setup!$B$8:$B$37,0)),"Check category"))</f>
        <v/>
      </c>
      <c r="G734" s="23" t="str">
        <f aca="false">IF(B734="","",MONTH(B734))</f>
        <v/>
      </c>
      <c r="H734" s="23" t="str">
        <f aca="false">IF(B734="","",YEAR(B734))</f>
        <v/>
      </c>
    </row>
    <row r="735" customFormat="false" ht="15" hidden="false" customHeight="false" outlineLevel="0" collapsed="false">
      <c r="B735" s="21"/>
      <c r="C735" s="16"/>
      <c r="D735" s="16"/>
      <c r="E735" s="17"/>
      <c r="F735" s="22" t="str">
        <f aca="false">IF(D735="","",IFERROR(INDEX(Setup!$C$8:$C$37,MATCH(D735,Setup!$B$8:$B$37,0)),"Check category"))</f>
        <v/>
      </c>
      <c r="G735" s="23" t="str">
        <f aca="false">IF(B735="","",MONTH(B735))</f>
        <v/>
      </c>
      <c r="H735" s="23" t="str">
        <f aca="false">IF(B735="","",YEAR(B735))</f>
        <v/>
      </c>
    </row>
    <row r="736" customFormat="false" ht="15" hidden="false" customHeight="false" outlineLevel="0" collapsed="false">
      <c r="B736" s="21"/>
      <c r="C736" s="16"/>
      <c r="D736" s="16"/>
      <c r="E736" s="17"/>
      <c r="F736" s="22" t="str">
        <f aca="false">IF(D736="","",IFERROR(INDEX(Setup!$C$8:$C$37,MATCH(D736,Setup!$B$8:$B$37,0)),"Check category"))</f>
        <v/>
      </c>
      <c r="G736" s="23" t="str">
        <f aca="false">IF(B736="","",MONTH(B736))</f>
        <v/>
      </c>
      <c r="H736" s="23" t="str">
        <f aca="false">IF(B736="","",YEAR(B736))</f>
        <v/>
      </c>
    </row>
    <row r="737" customFormat="false" ht="15" hidden="false" customHeight="false" outlineLevel="0" collapsed="false">
      <c r="B737" s="21"/>
      <c r="C737" s="16"/>
      <c r="D737" s="16"/>
      <c r="E737" s="17"/>
      <c r="F737" s="22" t="str">
        <f aca="false">IF(D737="","",IFERROR(INDEX(Setup!$C$8:$C$37,MATCH(D737,Setup!$B$8:$B$37,0)),"Check category"))</f>
        <v/>
      </c>
      <c r="G737" s="23" t="str">
        <f aca="false">IF(B737="","",MONTH(B737))</f>
        <v/>
      </c>
      <c r="H737" s="23" t="str">
        <f aca="false">IF(B737="","",YEAR(B737))</f>
        <v/>
      </c>
    </row>
    <row r="738" customFormat="false" ht="15" hidden="false" customHeight="false" outlineLevel="0" collapsed="false">
      <c r="B738" s="21"/>
      <c r="C738" s="16"/>
      <c r="D738" s="16"/>
      <c r="E738" s="17"/>
      <c r="F738" s="22" t="str">
        <f aca="false">IF(D738="","",IFERROR(INDEX(Setup!$C$8:$C$37,MATCH(D738,Setup!$B$8:$B$37,0)),"Check category"))</f>
        <v/>
      </c>
      <c r="G738" s="23" t="str">
        <f aca="false">IF(B738="","",MONTH(B738))</f>
        <v/>
      </c>
      <c r="H738" s="23" t="str">
        <f aca="false">IF(B738="","",YEAR(B738))</f>
        <v/>
      </c>
    </row>
    <row r="739" customFormat="false" ht="15" hidden="false" customHeight="false" outlineLevel="0" collapsed="false">
      <c r="B739" s="21"/>
      <c r="C739" s="16"/>
      <c r="D739" s="16"/>
      <c r="E739" s="17"/>
      <c r="F739" s="22" t="str">
        <f aca="false">IF(D739="","",IFERROR(INDEX(Setup!$C$8:$C$37,MATCH(D739,Setup!$B$8:$B$37,0)),"Check category"))</f>
        <v/>
      </c>
      <c r="G739" s="23" t="str">
        <f aca="false">IF(B739="","",MONTH(B739))</f>
        <v/>
      </c>
      <c r="H739" s="23" t="str">
        <f aca="false">IF(B739="","",YEAR(B739))</f>
        <v/>
      </c>
    </row>
    <row r="740" customFormat="false" ht="15" hidden="false" customHeight="false" outlineLevel="0" collapsed="false">
      <c r="B740" s="21"/>
      <c r="C740" s="16"/>
      <c r="D740" s="16"/>
      <c r="E740" s="17"/>
      <c r="F740" s="22" t="str">
        <f aca="false">IF(D740="","",IFERROR(INDEX(Setup!$C$8:$C$37,MATCH(D740,Setup!$B$8:$B$37,0)),"Check category"))</f>
        <v/>
      </c>
      <c r="G740" s="23" t="str">
        <f aca="false">IF(B740="","",MONTH(B740))</f>
        <v/>
      </c>
      <c r="H740" s="23" t="str">
        <f aca="false">IF(B740="","",YEAR(B740))</f>
        <v/>
      </c>
    </row>
    <row r="741" customFormat="false" ht="15" hidden="false" customHeight="false" outlineLevel="0" collapsed="false">
      <c r="B741" s="21"/>
      <c r="C741" s="16"/>
      <c r="D741" s="16"/>
      <c r="E741" s="17"/>
      <c r="F741" s="22" t="str">
        <f aca="false">IF(D741="","",IFERROR(INDEX(Setup!$C$8:$C$37,MATCH(D741,Setup!$B$8:$B$37,0)),"Check category"))</f>
        <v/>
      </c>
      <c r="G741" s="23" t="str">
        <f aca="false">IF(B741="","",MONTH(B741))</f>
        <v/>
      </c>
      <c r="H741" s="23" t="str">
        <f aca="false">IF(B741="","",YEAR(B741))</f>
        <v/>
      </c>
    </row>
    <row r="742" customFormat="false" ht="15" hidden="false" customHeight="false" outlineLevel="0" collapsed="false">
      <c r="B742" s="21"/>
      <c r="C742" s="16"/>
      <c r="D742" s="16"/>
      <c r="E742" s="17"/>
      <c r="F742" s="22" t="str">
        <f aca="false">IF(D742="","",IFERROR(INDEX(Setup!$C$8:$C$37,MATCH(D742,Setup!$B$8:$B$37,0)),"Check category"))</f>
        <v/>
      </c>
      <c r="G742" s="23" t="str">
        <f aca="false">IF(B742="","",MONTH(B742))</f>
        <v/>
      </c>
      <c r="H742" s="23" t="str">
        <f aca="false">IF(B742="","",YEAR(B742))</f>
        <v/>
      </c>
    </row>
    <row r="743" customFormat="false" ht="15" hidden="false" customHeight="false" outlineLevel="0" collapsed="false">
      <c r="B743" s="21"/>
      <c r="C743" s="16"/>
      <c r="D743" s="16"/>
      <c r="E743" s="17"/>
      <c r="F743" s="22" t="str">
        <f aca="false">IF(D743="","",IFERROR(INDEX(Setup!$C$8:$C$37,MATCH(D743,Setup!$B$8:$B$37,0)),"Check category"))</f>
        <v/>
      </c>
      <c r="G743" s="23" t="str">
        <f aca="false">IF(B743="","",MONTH(B743))</f>
        <v/>
      </c>
      <c r="H743" s="23" t="str">
        <f aca="false">IF(B743="","",YEAR(B743))</f>
        <v/>
      </c>
    </row>
    <row r="744" customFormat="false" ht="15" hidden="false" customHeight="false" outlineLevel="0" collapsed="false">
      <c r="B744" s="21"/>
      <c r="C744" s="16"/>
      <c r="D744" s="16"/>
      <c r="E744" s="17"/>
      <c r="F744" s="22" t="str">
        <f aca="false">IF(D744="","",IFERROR(INDEX(Setup!$C$8:$C$37,MATCH(D744,Setup!$B$8:$B$37,0)),"Check category"))</f>
        <v/>
      </c>
      <c r="G744" s="23" t="str">
        <f aca="false">IF(B744="","",MONTH(B744))</f>
        <v/>
      </c>
      <c r="H744" s="23" t="str">
        <f aca="false">IF(B744="","",YEAR(B744))</f>
        <v/>
      </c>
    </row>
    <row r="745" customFormat="false" ht="15" hidden="false" customHeight="false" outlineLevel="0" collapsed="false">
      <c r="B745" s="21"/>
      <c r="C745" s="16"/>
      <c r="D745" s="16"/>
      <c r="E745" s="17"/>
      <c r="F745" s="22" t="str">
        <f aca="false">IF(D745="","",IFERROR(INDEX(Setup!$C$8:$C$37,MATCH(D745,Setup!$B$8:$B$37,0)),"Check category"))</f>
        <v/>
      </c>
      <c r="G745" s="23" t="str">
        <f aca="false">IF(B745="","",MONTH(B745))</f>
        <v/>
      </c>
      <c r="H745" s="23" t="str">
        <f aca="false">IF(B745="","",YEAR(B745))</f>
        <v/>
      </c>
    </row>
    <row r="746" customFormat="false" ht="15" hidden="false" customHeight="false" outlineLevel="0" collapsed="false">
      <c r="B746" s="21"/>
      <c r="C746" s="16"/>
      <c r="D746" s="16"/>
      <c r="E746" s="17"/>
      <c r="F746" s="22" t="str">
        <f aca="false">IF(D746="","",IFERROR(INDEX(Setup!$C$8:$C$37,MATCH(D746,Setup!$B$8:$B$37,0)),"Check category"))</f>
        <v/>
      </c>
      <c r="G746" s="23" t="str">
        <f aca="false">IF(B746="","",MONTH(B746))</f>
        <v/>
      </c>
      <c r="H746" s="23" t="str">
        <f aca="false">IF(B746="","",YEAR(B746))</f>
        <v/>
      </c>
    </row>
    <row r="747" customFormat="false" ht="15" hidden="false" customHeight="false" outlineLevel="0" collapsed="false">
      <c r="B747" s="21"/>
      <c r="C747" s="16"/>
      <c r="D747" s="16"/>
      <c r="E747" s="17"/>
      <c r="F747" s="22" t="str">
        <f aca="false">IF(D747="","",IFERROR(INDEX(Setup!$C$8:$C$37,MATCH(D747,Setup!$B$8:$B$37,0)),"Check category"))</f>
        <v/>
      </c>
      <c r="G747" s="23" t="str">
        <f aca="false">IF(B747="","",MONTH(B747))</f>
        <v/>
      </c>
      <c r="H747" s="23" t="str">
        <f aca="false">IF(B747="","",YEAR(B747))</f>
        <v/>
      </c>
    </row>
    <row r="748" customFormat="false" ht="15" hidden="false" customHeight="false" outlineLevel="0" collapsed="false">
      <c r="B748" s="21"/>
      <c r="C748" s="16"/>
      <c r="D748" s="16"/>
      <c r="E748" s="17"/>
      <c r="F748" s="22" t="str">
        <f aca="false">IF(D748="","",IFERROR(INDEX(Setup!$C$8:$C$37,MATCH(D748,Setup!$B$8:$B$37,0)),"Check category"))</f>
        <v/>
      </c>
      <c r="G748" s="23" t="str">
        <f aca="false">IF(B748="","",MONTH(B748))</f>
        <v/>
      </c>
      <c r="H748" s="23" t="str">
        <f aca="false">IF(B748="","",YEAR(B748))</f>
        <v/>
      </c>
    </row>
    <row r="749" customFormat="false" ht="15" hidden="false" customHeight="false" outlineLevel="0" collapsed="false">
      <c r="B749" s="21"/>
      <c r="C749" s="16"/>
      <c r="D749" s="16"/>
      <c r="E749" s="17"/>
      <c r="F749" s="22" t="str">
        <f aca="false">IF(D749="","",IFERROR(INDEX(Setup!$C$8:$C$37,MATCH(D749,Setup!$B$8:$B$37,0)),"Check category"))</f>
        <v/>
      </c>
      <c r="G749" s="23" t="str">
        <f aca="false">IF(B749="","",MONTH(B749))</f>
        <v/>
      </c>
      <c r="H749" s="23" t="str">
        <f aca="false">IF(B749="","",YEAR(B749))</f>
        <v/>
      </c>
    </row>
    <row r="750" customFormat="false" ht="15" hidden="false" customHeight="false" outlineLevel="0" collapsed="false">
      <c r="B750" s="21"/>
      <c r="C750" s="16"/>
      <c r="D750" s="16"/>
      <c r="E750" s="17"/>
      <c r="F750" s="22" t="str">
        <f aca="false">IF(D750="","",IFERROR(INDEX(Setup!$C$8:$C$37,MATCH(D750,Setup!$B$8:$B$37,0)),"Check category"))</f>
        <v/>
      </c>
      <c r="G750" s="23" t="str">
        <f aca="false">IF(B750="","",MONTH(B750))</f>
        <v/>
      </c>
      <c r="H750" s="23" t="str">
        <f aca="false">IF(B750="","",YEAR(B750))</f>
        <v/>
      </c>
    </row>
    <row r="751" customFormat="false" ht="15" hidden="false" customHeight="false" outlineLevel="0" collapsed="false">
      <c r="B751" s="21"/>
      <c r="C751" s="16"/>
      <c r="D751" s="16"/>
      <c r="E751" s="17"/>
      <c r="F751" s="22" t="str">
        <f aca="false">IF(D751="","",IFERROR(INDEX(Setup!$C$8:$C$37,MATCH(D751,Setup!$B$8:$B$37,0)),"Check category"))</f>
        <v/>
      </c>
      <c r="G751" s="23" t="str">
        <f aca="false">IF(B751="","",MONTH(B751))</f>
        <v/>
      </c>
      <c r="H751" s="23" t="str">
        <f aca="false">IF(B751="","",YEAR(B751))</f>
        <v/>
      </c>
    </row>
    <row r="752" customFormat="false" ht="15" hidden="false" customHeight="false" outlineLevel="0" collapsed="false">
      <c r="B752" s="21"/>
      <c r="C752" s="16"/>
      <c r="D752" s="16"/>
      <c r="E752" s="17"/>
      <c r="F752" s="22" t="str">
        <f aca="false">IF(D752="","",IFERROR(INDEX(Setup!$C$8:$C$37,MATCH(D752,Setup!$B$8:$B$37,0)),"Check category"))</f>
        <v/>
      </c>
      <c r="G752" s="23" t="str">
        <f aca="false">IF(B752="","",MONTH(B752))</f>
        <v/>
      </c>
      <c r="H752" s="23" t="str">
        <f aca="false">IF(B752="","",YEAR(B752))</f>
        <v/>
      </c>
    </row>
    <row r="753" customFormat="false" ht="15" hidden="false" customHeight="false" outlineLevel="0" collapsed="false">
      <c r="B753" s="21"/>
      <c r="C753" s="16"/>
      <c r="D753" s="16"/>
      <c r="E753" s="17"/>
      <c r="F753" s="22" t="str">
        <f aca="false">IF(D753="","",IFERROR(INDEX(Setup!$C$8:$C$37,MATCH(D753,Setup!$B$8:$B$37,0)),"Check category"))</f>
        <v/>
      </c>
      <c r="G753" s="23" t="str">
        <f aca="false">IF(B753="","",MONTH(B753))</f>
        <v/>
      </c>
      <c r="H753" s="23" t="str">
        <f aca="false">IF(B753="","",YEAR(B753))</f>
        <v/>
      </c>
    </row>
    <row r="754" customFormat="false" ht="15" hidden="false" customHeight="false" outlineLevel="0" collapsed="false">
      <c r="B754" s="21"/>
      <c r="C754" s="16"/>
      <c r="D754" s="16"/>
      <c r="E754" s="17"/>
      <c r="F754" s="22" t="str">
        <f aca="false">IF(D754="","",IFERROR(INDEX(Setup!$C$8:$C$37,MATCH(D754,Setup!$B$8:$B$37,0)),"Check category"))</f>
        <v/>
      </c>
      <c r="G754" s="23" t="str">
        <f aca="false">IF(B754="","",MONTH(B754))</f>
        <v/>
      </c>
      <c r="H754" s="23" t="str">
        <f aca="false">IF(B754="","",YEAR(B754))</f>
        <v/>
      </c>
    </row>
    <row r="755" customFormat="false" ht="15" hidden="false" customHeight="false" outlineLevel="0" collapsed="false">
      <c r="B755" s="21"/>
      <c r="C755" s="16"/>
      <c r="D755" s="16"/>
      <c r="E755" s="17"/>
      <c r="F755" s="22" t="str">
        <f aca="false">IF(D755="","",IFERROR(INDEX(Setup!$C$8:$C$37,MATCH(D755,Setup!$B$8:$B$37,0)),"Check category"))</f>
        <v/>
      </c>
      <c r="G755" s="23" t="str">
        <f aca="false">IF(B755="","",MONTH(B755))</f>
        <v/>
      </c>
      <c r="H755" s="23" t="str">
        <f aca="false">IF(B755="","",YEAR(B755))</f>
        <v/>
      </c>
    </row>
    <row r="756" customFormat="false" ht="15" hidden="false" customHeight="false" outlineLevel="0" collapsed="false">
      <c r="B756" s="21"/>
      <c r="C756" s="16"/>
      <c r="D756" s="16"/>
      <c r="E756" s="17"/>
      <c r="F756" s="22" t="str">
        <f aca="false">IF(D756="","",IFERROR(INDEX(Setup!$C$8:$C$37,MATCH(D756,Setup!$B$8:$B$37,0)),"Check category"))</f>
        <v/>
      </c>
      <c r="G756" s="23" t="str">
        <f aca="false">IF(B756="","",MONTH(B756))</f>
        <v/>
      </c>
      <c r="H756" s="23" t="str">
        <f aca="false">IF(B756="","",YEAR(B756))</f>
        <v/>
      </c>
    </row>
    <row r="757" customFormat="false" ht="15" hidden="false" customHeight="false" outlineLevel="0" collapsed="false">
      <c r="B757" s="21"/>
      <c r="C757" s="16"/>
      <c r="D757" s="16"/>
      <c r="E757" s="17"/>
      <c r="F757" s="22" t="str">
        <f aca="false">IF(D757="","",IFERROR(INDEX(Setup!$C$8:$C$37,MATCH(D757,Setup!$B$8:$B$37,0)),"Check category"))</f>
        <v/>
      </c>
      <c r="G757" s="23" t="str">
        <f aca="false">IF(B757="","",MONTH(B757))</f>
        <v/>
      </c>
      <c r="H757" s="23" t="str">
        <f aca="false">IF(B757="","",YEAR(B757))</f>
        <v/>
      </c>
    </row>
    <row r="758" customFormat="false" ht="15" hidden="false" customHeight="false" outlineLevel="0" collapsed="false">
      <c r="B758" s="21"/>
      <c r="C758" s="16"/>
      <c r="D758" s="16"/>
      <c r="E758" s="17"/>
      <c r="F758" s="22" t="str">
        <f aca="false">IF(D758="","",IFERROR(INDEX(Setup!$C$8:$C$37,MATCH(D758,Setup!$B$8:$B$37,0)),"Check category"))</f>
        <v/>
      </c>
      <c r="G758" s="23" t="str">
        <f aca="false">IF(B758="","",MONTH(B758))</f>
        <v/>
      </c>
      <c r="H758" s="23" t="str">
        <f aca="false">IF(B758="","",YEAR(B758))</f>
        <v/>
      </c>
    </row>
    <row r="759" customFormat="false" ht="15" hidden="false" customHeight="false" outlineLevel="0" collapsed="false">
      <c r="B759" s="21"/>
      <c r="C759" s="16"/>
      <c r="D759" s="16"/>
      <c r="E759" s="17"/>
      <c r="F759" s="22" t="str">
        <f aca="false">IF(D759="","",IFERROR(INDEX(Setup!$C$8:$C$37,MATCH(D759,Setup!$B$8:$B$37,0)),"Check category"))</f>
        <v/>
      </c>
      <c r="G759" s="23" t="str">
        <f aca="false">IF(B759="","",MONTH(B759))</f>
        <v/>
      </c>
      <c r="H759" s="23" t="str">
        <f aca="false">IF(B759="","",YEAR(B759))</f>
        <v/>
      </c>
    </row>
    <row r="760" customFormat="false" ht="15" hidden="false" customHeight="false" outlineLevel="0" collapsed="false">
      <c r="B760" s="21"/>
      <c r="C760" s="16"/>
      <c r="D760" s="16"/>
      <c r="E760" s="17"/>
      <c r="F760" s="22" t="str">
        <f aca="false">IF(D760="","",IFERROR(INDEX(Setup!$C$8:$C$37,MATCH(D760,Setup!$B$8:$B$37,0)),"Check category"))</f>
        <v/>
      </c>
      <c r="G760" s="23" t="str">
        <f aca="false">IF(B760="","",MONTH(B760))</f>
        <v/>
      </c>
      <c r="H760" s="23" t="str">
        <f aca="false">IF(B760="","",YEAR(B760))</f>
        <v/>
      </c>
    </row>
    <row r="761" customFormat="false" ht="15" hidden="false" customHeight="false" outlineLevel="0" collapsed="false">
      <c r="B761" s="21"/>
      <c r="C761" s="16"/>
      <c r="D761" s="16"/>
      <c r="E761" s="17"/>
      <c r="F761" s="22" t="str">
        <f aca="false">IF(D761="","",IFERROR(INDEX(Setup!$C$8:$C$37,MATCH(D761,Setup!$B$8:$B$37,0)),"Check category"))</f>
        <v/>
      </c>
      <c r="G761" s="23" t="str">
        <f aca="false">IF(B761="","",MONTH(B761))</f>
        <v/>
      </c>
      <c r="H761" s="23" t="str">
        <f aca="false">IF(B761="","",YEAR(B761))</f>
        <v/>
      </c>
    </row>
    <row r="762" customFormat="false" ht="15" hidden="false" customHeight="false" outlineLevel="0" collapsed="false">
      <c r="B762" s="21"/>
      <c r="C762" s="16"/>
      <c r="D762" s="16"/>
      <c r="E762" s="17"/>
      <c r="F762" s="22" t="str">
        <f aca="false">IF(D762="","",IFERROR(INDEX(Setup!$C$8:$C$37,MATCH(D762,Setup!$B$8:$B$37,0)),"Check category"))</f>
        <v/>
      </c>
      <c r="G762" s="23" t="str">
        <f aca="false">IF(B762="","",MONTH(B762))</f>
        <v/>
      </c>
      <c r="H762" s="23" t="str">
        <f aca="false">IF(B762="","",YEAR(B762))</f>
        <v/>
      </c>
    </row>
    <row r="763" customFormat="false" ht="15" hidden="false" customHeight="false" outlineLevel="0" collapsed="false">
      <c r="B763" s="21"/>
      <c r="C763" s="16"/>
      <c r="D763" s="16"/>
      <c r="E763" s="17"/>
      <c r="F763" s="22" t="str">
        <f aca="false">IF(D763="","",IFERROR(INDEX(Setup!$C$8:$C$37,MATCH(D763,Setup!$B$8:$B$37,0)),"Check category"))</f>
        <v/>
      </c>
      <c r="G763" s="23" t="str">
        <f aca="false">IF(B763="","",MONTH(B763))</f>
        <v/>
      </c>
      <c r="H763" s="23" t="str">
        <f aca="false">IF(B763="","",YEAR(B763))</f>
        <v/>
      </c>
    </row>
    <row r="764" customFormat="false" ht="15" hidden="false" customHeight="false" outlineLevel="0" collapsed="false">
      <c r="B764" s="21"/>
      <c r="C764" s="16"/>
      <c r="D764" s="16"/>
      <c r="E764" s="17"/>
      <c r="F764" s="22" t="str">
        <f aca="false">IF(D764="","",IFERROR(INDEX(Setup!$C$8:$C$37,MATCH(D764,Setup!$B$8:$B$37,0)),"Check category"))</f>
        <v/>
      </c>
      <c r="G764" s="23" t="str">
        <f aca="false">IF(B764="","",MONTH(B764))</f>
        <v/>
      </c>
      <c r="H764" s="23" t="str">
        <f aca="false">IF(B764="","",YEAR(B764))</f>
        <v/>
      </c>
    </row>
    <row r="765" customFormat="false" ht="15" hidden="false" customHeight="false" outlineLevel="0" collapsed="false">
      <c r="B765" s="21"/>
      <c r="C765" s="16"/>
      <c r="D765" s="16"/>
      <c r="E765" s="17"/>
      <c r="F765" s="22" t="str">
        <f aca="false">IF(D765="","",IFERROR(INDEX(Setup!$C$8:$C$37,MATCH(D765,Setup!$B$8:$B$37,0)),"Check category"))</f>
        <v/>
      </c>
      <c r="G765" s="23" t="str">
        <f aca="false">IF(B765="","",MONTH(B765))</f>
        <v/>
      </c>
      <c r="H765" s="23" t="str">
        <f aca="false">IF(B765="","",YEAR(B765))</f>
        <v/>
      </c>
    </row>
    <row r="766" customFormat="false" ht="15" hidden="false" customHeight="false" outlineLevel="0" collapsed="false">
      <c r="B766" s="21"/>
      <c r="C766" s="16"/>
      <c r="D766" s="16"/>
      <c r="E766" s="17"/>
      <c r="F766" s="22" t="str">
        <f aca="false">IF(D766="","",IFERROR(INDEX(Setup!$C$8:$C$37,MATCH(D766,Setup!$B$8:$B$37,0)),"Check category"))</f>
        <v/>
      </c>
      <c r="G766" s="23" t="str">
        <f aca="false">IF(B766="","",MONTH(B766))</f>
        <v/>
      </c>
      <c r="H766" s="23" t="str">
        <f aca="false">IF(B766="","",YEAR(B766))</f>
        <v/>
      </c>
    </row>
    <row r="767" customFormat="false" ht="15" hidden="false" customHeight="false" outlineLevel="0" collapsed="false">
      <c r="B767" s="21"/>
      <c r="C767" s="16"/>
      <c r="D767" s="16"/>
      <c r="E767" s="17"/>
      <c r="F767" s="22" t="str">
        <f aca="false">IF(D767="","",IFERROR(INDEX(Setup!$C$8:$C$37,MATCH(D767,Setup!$B$8:$B$37,0)),"Check category"))</f>
        <v/>
      </c>
      <c r="G767" s="23" t="str">
        <f aca="false">IF(B767="","",MONTH(B767))</f>
        <v/>
      </c>
      <c r="H767" s="23" t="str">
        <f aca="false">IF(B767="","",YEAR(B767))</f>
        <v/>
      </c>
    </row>
    <row r="768" customFormat="false" ht="15" hidden="false" customHeight="false" outlineLevel="0" collapsed="false">
      <c r="B768" s="21"/>
      <c r="C768" s="16"/>
      <c r="D768" s="16"/>
      <c r="E768" s="17"/>
      <c r="F768" s="22" t="str">
        <f aca="false">IF(D768="","",IFERROR(INDEX(Setup!$C$8:$C$37,MATCH(D768,Setup!$B$8:$B$37,0)),"Check category"))</f>
        <v/>
      </c>
      <c r="G768" s="23" t="str">
        <f aca="false">IF(B768="","",MONTH(B768))</f>
        <v/>
      </c>
      <c r="H768" s="23" t="str">
        <f aca="false">IF(B768="","",YEAR(B768))</f>
        <v/>
      </c>
    </row>
    <row r="769" customFormat="false" ht="15" hidden="false" customHeight="false" outlineLevel="0" collapsed="false">
      <c r="B769" s="21"/>
      <c r="C769" s="16"/>
      <c r="D769" s="16"/>
      <c r="E769" s="17"/>
      <c r="F769" s="22" t="str">
        <f aca="false">IF(D769="","",IFERROR(INDEX(Setup!$C$8:$C$37,MATCH(D769,Setup!$B$8:$B$37,0)),"Check category"))</f>
        <v/>
      </c>
      <c r="G769" s="23" t="str">
        <f aca="false">IF(B769="","",MONTH(B769))</f>
        <v/>
      </c>
      <c r="H769" s="23" t="str">
        <f aca="false">IF(B769="","",YEAR(B769))</f>
        <v/>
      </c>
    </row>
    <row r="770" customFormat="false" ht="15" hidden="false" customHeight="false" outlineLevel="0" collapsed="false">
      <c r="B770" s="21"/>
      <c r="C770" s="16"/>
      <c r="D770" s="16"/>
      <c r="E770" s="17"/>
      <c r="F770" s="22" t="str">
        <f aca="false">IF(D770="","",IFERROR(INDEX(Setup!$C$8:$C$37,MATCH(D770,Setup!$B$8:$B$37,0)),"Check category"))</f>
        <v/>
      </c>
      <c r="G770" s="23" t="str">
        <f aca="false">IF(B770="","",MONTH(B770))</f>
        <v/>
      </c>
      <c r="H770" s="23" t="str">
        <f aca="false">IF(B770="","",YEAR(B770))</f>
        <v/>
      </c>
    </row>
    <row r="771" customFormat="false" ht="15" hidden="false" customHeight="false" outlineLevel="0" collapsed="false">
      <c r="B771" s="21"/>
      <c r="C771" s="16"/>
      <c r="D771" s="16"/>
      <c r="E771" s="17"/>
      <c r="F771" s="22" t="str">
        <f aca="false">IF(D771="","",IFERROR(INDEX(Setup!$C$8:$C$37,MATCH(D771,Setup!$B$8:$B$37,0)),"Check category"))</f>
        <v/>
      </c>
      <c r="G771" s="23" t="str">
        <f aca="false">IF(B771="","",MONTH(B771))</f>
        <v/>
      </c>
      <c r="H771" s="23" t="str">
        <f aca="false">IF(B771="","",YEAR(B771))</f>
        <v/>
      </c>
    </row>
    <row r="772" customFormat="false" ht="15" hidden="false" customHeight="false" outlineLevel="0" collapsed="false">
      <c r="B772" s="21"/>
      <c r="C772" s="16"/>
      <c r="D772" s="16"/>
      <c r="E772" s="17"/>
      <c r="F772" s="22" t="str">
        <f aca="false">IF(D772="","",IFERROR(INDEX(Setup!$C$8:$C$37,MATCH(D772,Setup!$B$8:$B$37,0)),"Check category"))</f>
        <v/>
      </c>
      <c r="G772" s="23" t="str">
        <f aca="false">IF(B772="","",MONTH(B772))</f>
        <v/>
      </c>
      <c r="H772" s="23" t="str">
        <f aca="false">IF(B772="","",YEAR(B772))</f>
        <v/>
      </c>
    </row>
    <row r="773" customFormat="false" ht="15" hidden="false" customHeight="false" outlineLevel="0" collapsed="false">
      <c r="B773" s="21"/>
      <c r="C773" s="16"/>
      <c r="D773" s="16"/>
      <c r="E773" s="17"/>
      <c r="F773" s="22" t="str">
        <f aca="false">IF(D773="","",IFERROR(INDEX(Setup!$C$8:$C$37,MATCH(D773,Setup!$B$8:$B$37,0)),"Check category"))</f>
        <v/>
      </c>
      <c r="G773" s="23" t="str">
        <f aca="false">IF(B773="","",MONTH(B773))</f>
        <v/>
      </c>
      <c r="H773" s="23" t="str">
        <f aca="false">IF(B773="","",YEAR(B773))</f>
        <v/>
      </c>
    </row>
    <row r="774" customFormat="false" ht="15" hidden="false" customHeight="false" outlineLevel="0" collapsed="false">
      <c r="B774" s="21"/>
      <c r="C774" s="16"/>
      <c r="D774" s="16"/>
      <c r="E774" s="17"/>
      <c r="F774" s="22" t="str">
        <f aca="false">IF(D774="","",IFERROR(INDEX(Setup!$C$8:$C$37,MATCH(D774,Setup!$B$8:$B$37,0)),"Check category"))</f>
        <v/>
      </c>
      <c r="G774" s="23" t="str">
        <f aca="false">IF(B774="","",MONTH(B774))</f>
        <v/>
      </c>
      <c r="H774" s="23" t="str">
        <f aca="false">IF(B774="","",YEAR(B774))</f>
        <v/>
      </c>
    </row>
    <row r="775" customFormat="false" ht="15" hidden="false" customHeight="false" outlineLevel="0" collapsed="false">
      <c r="B775" s="21"/>
      <c r="C775" s="16"/>
      <c r="D775" s="16"/>
      <c r="E775" s="17"/>
      <c r="F775" s="22" t="str">
        <f aca="false">IF(D775="","",IFERROR(INDEX(Setup!$C$8:$C$37,MATCH(D775,Setup!$B$8:$B$37,0)),"Check category"))</f>
        <v/>
      </c>
      <c r="G775" s="23" t="str">
        <f aca="false">IF(B775="","",MONTH(B775))</f>
        <v/>
      </c>
      <c r="H775" s="23" t="str">
        <f aca="false">IF(B775="","",YEAR(B775))</f>
        <v/>
      </c>
    </row>
    <row r="776" customFormat="false" ht="15" hidden="false" customHeight="false" outlineLevel="0" collapsed="false">
      <c r="B776" s="21"/>
      <c r="C776" s="16"/>
      <c r="D776" s="16"/>
      <c r="E776" s="17"/>
      <c r="F776" s="22" t="str">
        <f aca="false">IF(D776="","",IFERROR(INDEX(Setup!$C$8:$C$37,MATCH(D776,Setup!$B$8:$B$37,0)),"Check category"))</f>
        <v/>
      </c>
      <c r="G776" s="23" t="str">
        <f aca="false">IF(B776="","",MONTH(B776))</f>
        <v/>
      </c>
      <c r="H776" s="23" t="str">
        <f aca="false">IF(B776="","",YEAR(B776))</f>
        <v/>
      </c>
    </row>
    <row r="777" customFormat="false" ht="15" hidden="false" customHeight="false" outlineLevel="0" collapsed="false">
      <c r="B777" s="21"/>
      <c r="C777" s="16"/>
      <c r="D777" s="16"/>
      <c r="E777" s="17"/>
      <c r="F777" s="22" t="str">
        <f aca="false">IF(D777="","",IFERROR(INDEX(Setup!$C$8:$C$37,MATCH(D777,Setup!$B$8:$B$37,0)),"Check category"))</f>
        <v/>
      </c>
      <c r="G777" s="23" t="str">
        <f aca="false">IF(B777="","",MONTH(B777))</f>
        <v/>
      </c>
      <c r="H777" s="23" t="str">
        <f aca="false">IF(B777="","",YEAR(B777))</f>
        <v/>
      </c>
    </row>
    <row r="778" customFormat="false" ht="15" hidden="false" customHeight="false" outlineLevel="0" collapsed="false">
      <c r="B778" s="21"/>
      <c r="C778" s="16"/>
      <c r="D778" s="16"/>
      <c r="E778" s="17"/>
      <c r="F778" s="22" t="str">
        <f aca="false">IF(D778="","",IFERROR(INDEX(Setup!$C$8:$C$37,MATCH(D778,Setup!$B$8:$B$37,0)),"Check category"))</f>
        <v/>
      </c>
      <c r="G778" s="23" t="str">
        <f aca="false">IF(B778="","",MONTH(B778))</f>
        <v/>
      </c>
      <c r="H778" s="23" t="str">
        <f aca="false">IF(B778="","",YEAR(B778))</f>
        <v/>
      </c>
    </row>
    <row r="779" customFormat="false" ht="15" hidden="false" customHeight="false" outlineLevel="0" collapsed="false">
      <c r="B779" s="21"/>
      <c r="C779" s="16"/>
      <c r="D779" s="16"/>
      <c r="E779" s="17"/>
      <c r="F779" s="22" t="str">
        <f aca="false">IF(D779="","",IFERROR(INDEX(Setup!$C$8:$C$37,MATCH(D779,Setup!$B$8:$B$37,0)),"Check category"))</f>
        <v/>
      </c>
      <c r="G779" s="23" t="str">
        <f aca="false">IF(B779="","",MONTH(B779))</f>
        <v/>
      </c>
      <c r="H779" s="23" t="str">
        <f aca="false">IF(B779="","",YEAR(B779))</f>
        <v/>
      </c>
    </row>
    <row r="780" customFormat="false" ht="15" hidden="false" customHeight="false" outlineLevel="0" collapsed="false">
      <c r="B780" s="21"/>
      <c r="C780" s="16"/>
      <c r="D780" s="16"/>
      <c r="E780" s="17"/>
      <c r="F780" s="22" t="str">
        <f aca="false">IF(D780="","",IFERROR(INDEX(Setup!$C$8:$C$37,MATCH(D780,Setup!$B$8:$B$37,0)),"Check category"))</f>
        <v/>
      </c>
      <c r="G780" s="23" t="str">
        <f aca="false">IF(B780="","",MONTH(B780))</f>
        <v/>
      </c>
      <c r="H780" s="23" t="str">
        <f aca="false">IF(B780="","",YEAR(B780))</f>
        <v/>
      </c>
    </row>
    <row r="781" customFormat="false" ht="15" hidden="false" customHeight="false" outlineLevel="0" collapsed="false">
      <c r="B781" s="21"/>
      <c r="C781" s="16"/>
      <c r="D781" s="16"/>
      <c r="E781" s="17"/>
      <c r="F781" s="22" t="str">
        <f aca="false">IF(D781="","",IFERROR(INDEX(Setup!$C$8:$C$37,MATCH(D781,Setup!$B$8:$B$37,0)),"Check category"))</f>
        <v/>
      </c>
      <c r="G781" s="23" t="str">
        <f aca="false">IF(B781="","",MONTH(B781))</f>
        <v/>
      </c>
      <c r="H781" s="23" t="str">
        <f aca="false">IF(B781="","",YEAR(B781))</f>
        <v/>
      </c>
    </row>
    <row r="782" customFormat="false" ht="15" hidden="false" customHeight="false" outlineLevel="0" collapsed="false">
      <c r="B782" s="21"/>
      <c r="C782" s="16"/>
      <c r="D782" s="16"/>
      <c r="E782" s="17"/>
      <c r="F782" s="22" t="str">
        <f aca="false">IF(D782="","",IFERROR(INDEX(Setup!$C$8:$C$37,MATCH(D782,Setup!$B$8:$B$37,0)),"Check category"))</f>
        <v/>
      </c>
      <c r="G782" s="23" t="str">
        <f aca="false">IF(B782="","",MONTH(B782))</f>
        <v/>
      </c>
      <c r="H782" s="23" t="str">
        <f aca="false">IF(B782="","",YEAR(B782))</f>
        <v/>
      </c>
    </row>
    <row r="783" customFormat="false" ht="15" hidden="false" customHeight="false" outlineLevel="0" collapsed="false">
      <c r="B783" s="21"/>
      <c r="C783" s="16"/>
      <c r="D783" s="16"/>
      <c r="E783" s="17"/>
      <c r="F783" s="22" t="str">
        <f aca="false">IF(D783="","",IFERROR(INDEX(Setup!$C$8:$C$37,MATCH(D783,Setup!$B$8:$B$37,0)),"Check category"))</f>
        <v/>
      </c>
      <c r="G783" s="23" t="str">
        <f aca="false">IF(B783="","",MONTH(B783))</f>
        <v/>
      </c>
      <c r="H783" s="23" t="str">
        <f aca="false">IF(B783="","",YEAR(B783))</f>
        <v/>
      </c>
    </row>
    <row r="784" customFormat="false" ht="15" hidden="false" customHeight="false" outlineLevel="0" collapsed="false">
      <c r="B784" s="21"/>
      <c r="C784" s="16"/>
      <c r="D784" s="16"/>
      <c r="E784" s="17"/>
      <c r="F784" s="22" t="str">
        <f aca="false">IF(D784="","",IFERROR(INDEX(Setup!$C$8:$C$37,MATCH(D784,Setup!$B$8:$B$37,0)),"Check category"))</f>
        <v/>
      </c>
      <c r="G784" s="23" t="str">
        <f aca="false">IF(B784="","",MONTH(B784))</f>
        <v/>
      </c>
      <c r="H784" s="23" t="str">
        <f aca="false">IF(B784="","",YEAR(B784))</f>
        <v/>
      </c>
    </row>
    <row r="785" customFormat="false" ht="15" hidden="false" customHeight="false" outlineLevel="0" collapsed="false">
      <c r="B785" s="21"/>
      <c r="C785" s="16"/>
      <c r="D785" s="16"/>
      <c r="E785" s="17"/>
      <c r="F785" s="22" t="str">
        <f aca="false">IF(D785="","",IFERROR(INDEX(Setup!$C$8:$C$37,MATCH(D785,Setup!$B$8:$B$37,0)),"Check category"))</f>
        <v/>
      </c>
      <c r="G785" s="23" t="str">
        <f aca="false">IF(B785="","",MONTH(B785))</f>
        <v/>
      </c>
      <c r="H785" s="23" t="str">
        <f aca="false">IF(B785="","",YEAR(B785))</f>
        <v/>
      </c>
    </row>
    <row r="786" customFormat="false" ht="15" hidden="false" customHeight="false" outlineLevel="0" collapsed="false">
      <c r="B786" s="21"/>
      <c r="C786" s="16"/>
      <c r="D786" s="16"/>
      <c r="E786" s="17"/>
      <c r="F786" s="22" t="str">
        <f aca="false">IF(D786="","",IFERROR(INDEX(Setup!$C$8:$C$37,MATCH(D786,Setup!$B$8:$B$37,0)),"Check category"))</f>
        <v/>
      </c>
      <c r="G786" s="23" t="str">
        <f aca="false">IF(B786="","",MONTH(B786))</f>
        <v/>
      </c>
      <c r="H786" s="23" t="str">
        <f aca="false">IF(B786="","",YEAR(B786))</f>
        <v/>
      </c>
    </row>
    <row r="787" customFormat="false" ht="15" hidden="false" customHeight="false" outlineLevel="0" collapsed="false">
      <c r="B787" s="21"/>
      <c r="C787" s="16"/>
      <c r="D787" s="16"/>
      <c r="E787" s="17"/>
      <c r="F787" s="22" t="str">
        <f aca="false">IF(D787="","",IFERROR(INDEX(Setup!$C$8:$C$37,MATCH(D787,Setup!$B$8:$B$37,0)),"Check category"))</f>
        <v/>
      </c>
      <c r="G787" s="23" t="str">
        <f aca="false">IF(B787="","",MONTH(B787))</f>
        <v/>
      </c>
      <c r="H787" s="23" t="str">
        <f aca="false">IF(B787="","",YEAR(B787))</f>
        <v/>
      </c>
    </row>
    <row r="788" customFormat="false" ht="15" hidden="false" customHeight="false" outlineLevel="0" collapsed="false">
      <c r="B788" s="21"/>
      <c r="C788" s="16"/>
      <c r="D788" s="16"/>
      <c r="E788" s="17"/>
      <c r="F788" s="22" t="str">
        <f aca="false">IF(D788="","",IFERROR(INDEX(Setup!$C$8:$C$37,MATCH(D788,Setup!$B$8:$B$37,0)),"Check category"))</f>
        <v/>
      </c>
      <c r="G788" s="23" t="str">
        <f aca="false">IF(B788="","",MONTH(B788))</f>
        <v/>
      </c>
      <c r="H788" s="23" t="str">
        <f aca="false">IF(B788="","",YEAR(B788))</f>
        <v/>
      </c>
    </row>
    <row r="789" customFormat="false" ht="15" hidden="false" customHeight="false" outlineLevel="0" collapsed="false">
      <c r="B789" s="21"/>
      <c r="C789" s="16"/>
      <c r="D789" s="16"/>
      <c r="E789" s="17"/>
      <c r="F789" s="22" t="str">
        <f aca="false">IF(D789="","",IFERROR(INDEX(Setup!$C$8:$C$37,MATCH(D789,Setup!$B$8:$B$37,0)),"Check category"))</f>
        <v/>
      </c>
      <c r="G789" s="23" t="str">
        <f aca="false">IF(B789="","",MONTH(B789))</f>
        <v/>
      </c>
      <c r="H789" s="23" t="str">
        <f aca="false">IF(B789="","",YEAR(B789))</f>
        <v/>
      </c>
    </row>
    <row r="790" customFormat="false" ht="15" hidden="false" customHeight="false" outlineLevel="0" collapsed="false">
      <c r="B790" s="21"/>
      <c r="C790" s="16"/>
      <c r="D790" s="16"/>
      <c r="E790" s="17"/>
      <c r="F790" s="22" t="str">
        <f aca="false">IF(D790="","",IFERROR(INDEX(Setup!$C$8:$C$37,MATCH(D790,Setup!$B$8:$B$37,0)),"Check category"))</f>
        <v/>
      </c>
      <c r="G790" s="23" t="str">
        <f aca="false">IF(B790="","",MONTH(B790))</f>
        <v/>
      </c>
      <c r="H790" s="23" t="str">
        <f aca="false">IF(B790="","",YEAR(B790))</f>
        <v/>
      </c>
    </row>
    <row r="791" customFormat="false" ht="15" hidden="false" customHeight="false" outlineLevel="0" collapsed="false">
      <c r="B791" s="21"/>
      <c r="C791" s="16"/>
      <c r="D791" s="16"/>
      <c r="E791" s="17"/>
      <c r="F791" s="22" t="str">
        <f aca="false">IF(D791="","",IFERROR(INDEX(Setup!$C$8:$C$37,MATCH(D791,Setup!$B$8:$B$37,0)),"Check category"))</f>
        <v/>
      </c>
      <c r="G791" s="23" t="str">
        <f aca="false">IF(B791="","",MONTH(B791))</f>
        <v/>
      </c>
      <c r="H791" s="23" t="str">
        <f aca="false">IF(B791="","",YEAR(B791))</f>
        <v/>
      </c>
    </row>
    <row r="792" customFormat="false" ht="15" hidden="false" customHeight="false" outlineLevel="0" collapsed="false">
      <c r="B792" s="21"/>
      <c r="C792" s="16"/>
      <c r="D792" s="16"/>
      <c r="E792" s="17"/>
      <c r="F792" s="22" t="str">
        <f aca="false">IF(D792="","",IFERROR(INDEX(Setup!$C$8:$C$37,MATCH(D792,Setup!$B$8:$B$37,0)),"Check category"))</f>
        <v/>
      </c>
      <c r="G792" s="23" t="str">
        <f aca="false">IF(B792="","",MONTH(B792))</f>
        <v/>
      </c>
      <c r="H792" s="23" t="str">
        <f aca="false">IF(B792="","",YEAR(B792))</f>
        <v/>
      </c>
    </row>
    <row r="793" customFormat="false" ht="15" hidden="false" customHeight="false" outlineLevel="0" collapsed="false">
      <c r="B793" s="21"/>
      <c r="C793" s="16"/>
      <c r="D793" s="16"/>
      <c r="E793" s="17"/>
      <c r="F793" s="22" t="str">
        <f aca="false">IF(D793="","",IFERROR(INDEX(Setup!$C$8:$C$37,MATCH(D793,Setup!$B$8:$B$37,0)),"Check category"))</f>
        <v/>
      </c>
      <c r="G793" s="23" t="str">
        <f aca="false">IF(B793="","",MONTH(B793))</f>
        <v/>
      </c>
      <c r="H793" s="23" t="str">
        <f aca="false">IF(B793="","",YEAR(B793))</f>
        <v/>
      </c>
    </row>
    <row r="794" customFormat="false" ht="15" hidden="false" customHeight="false" outlineLevel="0" collapsed="false">
      <c r="B794" s="21"/>
      <c r="C794" s="16"/>
      <c r="D794" s="16"/>
      <c r="E794" s="17"/>
      <c r="F794" s="22" t="str">
        <f aca="false">IF(D794="","",IFERROR(INDEX(Setup!$C$8:$C$37,MATCH(D794,Setup!$B$8:$B$37,0)),"Check category"))</f>
        <v/>
      </c>
      <c r="G794" s="23" t="str">
        <f aca="false">IF(B794="","",MONTH(B794))</f>
        <v/>
      </c>
      <c r="H794" s="23" t="str">
        <f aca="false">IF(B794="","",YEAR(B794))</f>
        <v/>
      </c>
    </row>
    <row r="795" customFormat="false" ht="15" hidden="false" customHeight="false" outlineLevel="0" collapsed="false">
      <c r="B795" s="21"/>
      <c r="C795" s="16"/>
      <c r="D795" s="16"/>
      <c r="E795" s="17"/>
      <c r="F795" s="22" t="str">
        <f aca="false">IF(D795="","",IFERROR(INDEX(Setup!$C$8:$C$37,MATCH(D795,Setup!$B$8:$B$37,0)),"Check category"))</f>
        <v/>
      </c>
      <c r="G795" s="23" t="str">
        <f aca="false">IF(B795="","",MONTH(B795))</f>
        <v/>
      </c>
      <c r="H795" s="23" t="str">
        <f aca="false">IF(B795="","",YEAR(B795))</f>
        <v/>
      </c>
    </row>
    <row r="796" customFormat="false" ht="15" hidden="false" customHeight="false" outlineLevel="0" collapsed="false">
      <c r="B796" s="21"/>
      <c r="C796" s="16"/>
      <c r="D796" s="16"/>
      <c r="E796" s="17"/>
      <c r="F796" s="22" t="str">
        <f aca="false">IF(D796="","",IFERROR(INDEX(Setup!$C$8:$C$37,MATCH(D796,Setup!$B$8:$B$37,0)),"Check category"))</f>
        <v/>
      </c>
      <c r="G796" s="23" t="str">
        <f aca="false">IF(B796="","",MONTH(B796))</f>
        <v/>
      </c>
      <c r="H796" s="23" t="str">
        <f aca="false">IF(B796="","",YEAR(B796))</f>
        <v/>
      </c>
    </row>
    <row r="797" customFormat="false" ht="15" hidden="false" customHeight="false" outlineLevel="0" collapsed="false">
      <c r="B797" s="21"/>
      <c r="C797" s="16"/>
      <c r="D797" s="16"/>
      <c r="E797" s="17"/>
      <c r="F797" s="22" t="str">
        <f aca="false">IF(D797="","",IFERROR(INDEX(Setup!$C$8:$C$37,MATCH(D797,Setup!$B$8:$B$37,0)),"Check category"))</f>
        <v/>
      </c>
      <c r="G797" s="23" t="str">
        <f aca="false">IF(B797="","",MONTH(B797))</f>
        <v/>
      </c>
      <c r="H797" s="23" t="str">
        <f aca="false">IF(B797="","",YEAR(B797))</f>
        <v/>
      </c>
    </row>
    <row r="798" customFormat="false" ht="15" hidden="false" customHeight="false" outlineLevel="0" collapsed="false">
      <c r="B798" s="21"/>
      <c r="C798" s="16"/>
      <c r="D798" s="16"/>
      <c r="E798" s="17"/>
      <c r="F798" s="22" t="str">
        <f aca="false">IF(D798="","",IFERROR(INDEX(Setup!$C$8:$C$37,MATCH(D798,Setup!$B$8:$B$37,0)),"Check category"))</f>
        <v/>
      </c>
      <c r="G798" s="23" t="str">
        <f aca="false">IF(B798="","",MONTH(B798))</f>
        <v/>
      </c>
      <c r="H798" s="23" t="str">
        <f aca="false">IF(B798="","",YEAR(B798))</f>
        <v/>
      </c>
    </row>
    <row r="799" customFormat="false" ht="15" hidden="false" customHeight="false" outlineLevel="0" collapsed="false">
      <c r="B799" s="21"/>
      <c r="C799" s="16"/>
      <c r="D799" s="16"/>
      <c r="E799" s="17"/>
      <c r="F799" s="22" t="str">
        <f aca="false">IF(D799="","",IFERROR(INDEX(Setup!$C$8:$C$37,MATCH(D799,Setup!$B$8:$B$37,0)),"Check category"))</f>
        <v/>
      </c>
      <c r="G799" s="23" t="str">
        <f aca="false">IF(B799="","",MONTH(B799))</f>
        <v/>
      </c>
      <c r="H799" s="23" t="str">
        <f aca="false">IF(B799="","",YEAR(B799))</f>
        <v/>
      </c>
    </row>
    <row r="800" customFormat="false" ht="15" hidden="false" customHeight="false" outlineLevel="0" collapsed="false">
      <c r="B800" s="21"/>
      <c r="C800" s="16"/>
      <c r="D800" s="16"/>
      <c r="E800" s="17"/>
      <c r="F800" s="22" t="str">
        <f aca="false">IF(D800="","",IFERROR(INDEX(Setup!$C$8:$C$37,MATCH(D800,Setup!$B$8:$B$37,0)),"Check category"))</f>
        <v/>
      </c>
      <c r="G800" s="23" t="str">
        <f aca="false">IF(B800="","",MONTH(B800))</f>
        <v/>
      </c>
      <c r="H800" s="23" t="str">
        <f aca="false">IF(B800="","",YEAR(B800))</f>
        <v/>
      </c>
    </row>
    <row r="801" customFormat="false" ht="15" hidden="false" customHeight="false" outlineLevel="0" collapsed="false">
      <c r="B801" s="21"/>
      <c r="C801" s="16"/>
      <c r="D801" s="16"/>
      <c r="E801" s="17"/>
      <c r="F801" s="22" t="str">
        <f aca="false">IF(D801="","",IFERROR(INDEX(Setup!$C$8:$C$37,MATCH(D801,Setup!$B$8:$B$37,0)),"Check category"))</f>
        <v/>
      </c>
      <c r="G801" s="23" t="str">
        <f aca="false">IF(B801="","",MONTH(B801))</f>
        <v/>
      </c>
      <c r="H801" s="23" t="str">
        <f aca="false">IF(B801="","",YEAR(B801))</f>
        <v/>
      </c>
    </row>
    <row r="802" customFormat="false" ht="15" hidden="false" customHeight="false" outlineLevel="0" collapsed="false">
      <c r="B802" s="21"/>
      <c r="C802" s="16"/>
      <c r="D802" s="16"/>
      <c r="E802" s="17"/>
      <c r="F802" s="22" t="str">
        <f aca="false">IF(D802="","",IFERROR(INDEX(Setup!$C$8:$C$37,MATCH(D802,Setup!$B$8:$B$37,0)),"Check category"))</f>
        <v/>
      </c>
      <c r="G802" s="23" t="str">
        <f aca="false">IF(B802="","",MONTH(B802))</f>
        <v/>
      </c>
      <c r="H802" s="23" t="str">
        <f aca="false">IF(B802="","",YEAR(B802))</f>
        <v/>
      </c>
    </row>
    <row r="803" customFormat="false" ht="15" hidden="false" customHeight="false" outlineLevel="0" collapsed="false">
      <c r="B803" s="21"/>
      <c r="C803" s="16"/>
      <c r="D803" s="16"/>
      <c r="E803" s="17"/>
      <c r="F803" s="22" t="str">
        <f aca="false">IF(D803="","",IFERROR(INDEX(Setup!$C$8:$C$37,MATCH(D803,Setup!$B$8:$B$37,0)),"Check category"))</f>
        <v/>
      </c>
      <c r="G803" s="23" t="str">
        <f aca="false">IF(B803="","",MONTH(B803))</f>
        <v/>
      </c>
      <c r="H803" s="23" t="str">
        <f aca="false">IF(B803="","",YEAR(B803))</f>
        <v/>
      </c>
    </row>
    <row r="804" customFormat="false" ht="15" hidden="false" customHeight="false" outlineLevel="0" collapsed="false">
      <c r="B804" s="21"/>
      <c r="C804" s="16"/>
      <c r="D804" s="16"/>
      <c r="E804" s="17"/>
      <c r="F804" s="22" t="str">
        <f aca="false">IF(D804="","",IFERROR(INDEX(Setup!$C$8:$C$37,MATCH(D804,Setup!$B$8:$B$37,0)),"Check category"))</f>
        <v/>
      </c>
      <c r="G804" s="23" t="str">
        <f aca="false">IF(B804="","",MONTH(B804))</f>
        <v/>
      </c>
      <c r="H804" s="23" t="str">
        <f aca="false">IF(B804="","",YEAR(B804))</f>
        <v/>
      </c>
    </row>
    <row r="805" customFormat="false" ht="15" hidden="false" customHeight="false" outlineLevel="0" collapsed="false">
      <c r="B805" s="21"/>
      <c r="C805" s="16"/>
      <c r="D805" s="16"/>
      <c r="E805" s="17"/>
      <c r="F805" s="22" t="str">
        <f aca="false">IF(D805="","",IFERROR(INDEX(Setup!$C$8:$C$37,MATCH(D805,Setup!$B$8:$B$37,0)),"Check category"))</f>
        <v/>
      </c>
      <c r="G805" s="23" t="str">
        <f aca="false">IF(B805="","",MONTH(B805))</f>
        <v/>
      </c>
      <c r="H805" s="23" t="str">
        <f aca="false">IF(B805="","",YEAR(B805))</f>
        <v/>
      </c>
    </row>
    <row r="806" customFormat="false" ht="15" hidden="false" customHeight="false" outlineLevel="0" collapsed="false">
      <c r="B806" s="21"/>
      <c r="C806" s="16"/>
      <c r="D806" s="16"/>
      <c r="E806" s="17"/>
      <c r="F806" s="22" t="str">
        <f aca="false">IF(D806="","",IFERROR(INDEX(Setup!$C$8:$C$37,MATCH(D806,Setup!$B$8:$B$37,0)),"Check category"))</f>
        <v/>
      </c>
      <c r="G806" s="23" t="str">
        <f aca="false">IF(B806="","",MONTH(B806))</f>
        <v/>
      </c>
      <c r="H806" s="23" t="str">
        <f aca="false">IF(B806="","",YEAR(B806))</f>
        <v/>
      </c>
    </row>
    <row r="807" customFormat="false" ht="15" hidden="false" customHeight="false" outlineLevel="0" collapsed="false">
      <c r="B807" s="21"/>
      <c r="C807" s="16"/>
      <c r="D807" s="16"/>
      <c r="E807" s="17"/>
      <c r="F807" s="22" t="str">
        <f aca="false">IF(D807="","",IFERROR(INDEX(Setup!$C$8:$C$37,MATCH(D807,Setup!$B$8:$B$37,0)),"Check category"))</f>
        <v/>
      </c>
      <c r="G807" s="23" t="str">
        <f aca="false">IF(B807="","",MONTH(B807))</f>
        <v/>
      </c>
      <c r="H807" s="23" t="str">
        <f aca="false">IF(B807="","",YEAR(B807))</f>
        <v/>
      </c>
    </row>
    <row r="808" customFormat="false" ht="15" hidden="false" customHeight="false" outlineLevel="0" collapsed="false">
      <c r="B808" s="21"/>
      <c r="C808" s="16"/>
      <c r="D808" s="16"/>
      <c r="E808" s="17"/>
      <c r="F808" s="22" t="str">
        <f aca="false">IF(D808="","",IFERROR(INDEX(Setup!$C$8:$C$37,MATCH(D808,Setup!$B$8:$B$37,0)),"Check category"))</f>
        <v/>
      </c>
      <c r="G808" s="23" t="str">
        <f aca="false">IF(B808="","",MONTH(B808))</f>
        <v/>
      </c>
      <c r="H808" s="23" t="str">
        <f aca="false">IF(B808="","",YEAR(B808))</f>
        <v/>
      </c>
    </row>
    <row r="809" customFormat="false" ht="15" hidden="false" customHeight="false" outlineLevel="0" collapsed="false">
      <c r="B809" s="21"/>
      <c r="C809" s="16"/>
      <c r="D809" s="16"/>
      <c r="E809" s="17"/>
      <c r="F809" s="22" t="str">
        <f aca="false">IF(D809="","",IFERROR(INDEX(Setup!$C$8:$C$37,MATCH(D809,Setup!$B$8:$B$37,0)),"Check category"))</f>
        <v/>
      </c>
      <c r="G809" s="23" t="str">
        <f aca="false">IF(B809="","",MONTH(B809))</f>
        <v/>
      </c>
      <c r="H809" s="23" t="str">
        <f aca="false">IF(B809="","",YEAR(B809))</f>
        <v/>
      </c>
    </row>
    <row r="810" customFormat="false" ht="15" hidden="false" customHeight="false" outlineLevel="0" collapsed="false">
      <c r="B810" s="21"/>
      <c r="C810" s="16"/>
      <c r="D810" s="16"/>
      <c r="E810" s="17"/>
      <c r="F810" s="22" t="str">
        <f aca="false">IF(D810="","",IFERROR(INDEX(Setup!$C$8:$C$37,MATCH(D810,Setup!$B$8:$B$37,0)),"Check category"))</f>
        <v/>
      </c>
      <c r="G810" s="23" t="str">
        <f aca="false">IF(B810="","",MONTH(B810))</f>
        <v/>
      </c>
      <c r="H810" s="23" t="str">
        <f aca="false">IF(B810="","",YEAR(B810))</f>
        <v/>
      </c>
    </row>
    <row r="811" customFormat="false" ht="15" hidden="false" customHeight="false" outlineLevel="0" collapsed="false">
      <c r="B811" s="21"/>
      <c r="C811" s="16"/>
      <c r="D811" s="16"/>
      <c r="E811" s="17"/>
      <c r="F811" s="22" t="str">
        <f aca="false">IF(D811="","",IFERROR(INDEX(Setup!$C$8:$C$37,MATCH(D811,Setup!$B$8:$B$37,0)),"Check category"))</f>
        <v/>
      </c>
      <c r="G811" s="23" t="str">
        <f aca="false">IF(B811="","",MONTH(B811))</f>
        <v/>
      </c>
      <c r="H811" s="23" t="str">
        <f aca="false">IF(B811="","",YEAR(B811))</f>
        <v/>
      </c>
    </row>
    <row r="812" customFormat="false" ht="15" hidden="false" customHeight="false" outlineLevel="0" collapsed="false">
      <c r="B812" s="21"/>
      <c r="C812" s="16"/>
      <c r="D812" s="16"/>
      <c r="E812" s="17"/>
      <c r="F812" s="22" t="str">
        <f aca="false">IF(D812="","",IFERROR(INDEX(Setup!$C$8:$C$37,MATCH(D812,Setup!$B$8:$B$37,0)),"Check category"))</f>
        <v/>
      </c>
      <c r="G812" s="23" t="str">
        <f aca="false">IF(B812="","",MONTH(B812))</f>
        <v/>
      </c>
      <c r="H812" s="23" t="str">
        <f aca="false">IF(B812="","",YEAR(B812))</f>
        <v/>
      </c>
    </row>
    <row r="813" customFormat="false" ht="15" hidden="false" customHeight="false" outlineLevel="0" collapsed="false">
      <c r="B813" s="21"/>
      <c r="C813" s="16"/>
      <c r="D813" s="16"/>
      <c r="E813" s="17"/>
      <c r="F813" s="22" t="str">
        <f aca="false">IF(D813="","",IFERROR(INDEX(Setup!$C$8:$C$37,MATCH(D813,Setup!$B$8:$B$37,0)),"Check category"))</f>
        <v/>
      </c>
      <c r="G813" s="23" t="str">
        <f aca="false">IF(B813="","",MONTH(B813))</f>
        <v/>
      </c>
      <c r="H813" s="23" t="str">
        <f aca="false">IF(B813="","",YEAR(B813))</f>
        <v/>
      </c>
    </row>
    <row r="814" customFormat="false" ht="15" hidden="false" customHeight="false" outlineLevel="0" collapsed="false">
      <c r="B814" s="21"/>
      <c r="C814" s="16"/>
      <c r="D814" s="16"/>
      <c r="E814" s="17"/>
      <c r="F814" s="22" t="str">
        <f aca="false">IF(D814="","",IFERROR(INDEX(Setup!$C$8:$C$37,MATCH(D814,Setup!$B$8:$B$37,0)),"Check category"))</f>
        <v/>
      </c>
      <c r="G814" s="23" t="str">
        <f aca="false">IF(B814="","",MONTH(B814))</f>
        <v/>
      </c>
      <c r="H814" s="23" t="str">
        <f aca="false">IF(B814="","",YEAR(B814))</f>
        <v/>
      </c>
    </row>
    <row r="815" customFormat="false" ht="15" hidden="false" customHeight="false" outlineLevel="0" collapsed="false">
      <c r="B815" s="21"/>
      <c r="C815" s="16"/>
      <c r="D815" s="16"/>
      <c r="E815" s="17"/>
      <c r="F815" s="22" t="str">
        <f aca="false">IF(D815="","",IFERROR(INDEX(Setup!$C$8:$C$37,MATCH(D815,Setup!$B$8:$B$37,0)),"Check category"))</f>
        <v/>
      </c>
      <c r="G815" s="23" t="str">
        <f aca="false">IF(B815="","",MONTH(B815))</f>
        <v/>
      </c>
      <c r="H815" s="23" t="str">
        <f aca="false">IF(B815="","",YEAR(B815))</f>
        <v/>
      </c>
    </row>
    <row r="816" customFormat="false" ht="15" hidden="false" customHeight="false" outlineLevel="0" collapsed="false">
      <c r="B816" s="21"/>
      <c r="C816" s="16"/>
      <c r="D816" s="16"/>
      <c r="E816" s="17"/>
      <c r="F816" s="22" t="str">
        <f aca="false">IF(D816="","",IFERROR(INDEX(Setup!$C$8:$C$37,MATCH(D816,Setup!$B$8:$B$37,0)),"Check category"))</f>
        <v/>
      </c>
      <c r="G816" s="23" t="str">
        <f aca="false">IF(B816="","",MONTH(B816))</f>
        <v/>
      </c>
      <c r="H816" s="23" t="str">
        <f aca="false">IF(B816="","",YEAR(B816))</f>
        <v/>
      </c>
    </row>
    <row r="817" customFormat="false" ht="15" hidden="false" customHeight="false" outlineLevel="0" collapsed="false">
      <c r="B817" s="21"/>
      <c r="C817" s="16"/>
      <c r="D817" s="16"/>
      <c r="E817" s="17"/>
      <c r="F817" s="22" t="str">
        <f aca="false">IF(D817="","",IFERROR(INDEX(Setup!$C$8:$C$37,MATCH(D817,Setup!$B$8:$B$37,0)),"Check category"))</f>
        <v/>
      </c>
      <c r="G817" s="23" t="str">
        <f aca="false">IF(B817="","",MONTH(B817))</f>
        <v/>
      </c>
      <c r="H817" s="23" t="str">
        <f aca="false">IF(B817="","",YEAR(B817))</f>
        <v/>
      </c>
    </row>
    <row r="818" customFormat="false" ht="15" hidden="false" customHeight="false" outlineLevel="0" collapsed="false">
      <c r="B818" s="21"/>
      <c r="C818" s="16"/>
      <c r="D818" s="16"/>
      <c r="E818" s="17"/>
      <c r="F818" s="22" t="str">
        <f aca="false">IF(D818="","",IFERROR(INDEX(Setup!$C$8:$C$37,MATCH(D818,Setup!$B$8:$B$37,0)),"Check category"))</f>
        <v/>
      </c>
      <c r="G818" s="23" t="str">
        <f aca="false">IF(B818="","",MONTH(B818))</f>
        <v/>
      </c>
      <c r="H818" s="23" t="str">
        <f aca="false">IF(B818="","",YEAR(B818))</f>
        <v/>
      </c>
    </row>
    <row r="819" customFormat="false" ht="15" hidden="false" customHeight="false" outlineLevel="0" collapsed="false">
      <c r="B819" s="21"/>
      <c r="C819" s="16"/>
      <c r="D819" s="16"/>
      <c r="E819" s="17"/>
      <c r="F819" s="22" t="str">
        <f aca="false">IF(D819="","",IFERROR(INDEX(Setup!$C$8:$C$37,MATCH(D819,Setup!$B$8:$B$37,0)),"Check category"))</f>
        <v/>
      </c>
      <c r="G819" s="23" t="str">
        <f aca="false">IF(B819="","",MONTH(B819))</f>
        <v/>
      </c>
      <c r="H819" s="23" t="str">
        <f aca="false">IF(B819="","",YEAR(B819))</f>
        <v/>
      </c>
    </row>
    <row r="820" customFormat="false" ht="15" hidden="false" customHeight="false" outlineLevel="0" collapsed="false">
      <c r="B820" s="21"/>
      <c r="C820" s="16"/>
      <c r="D820" s="16"/>
      <c r="E820" s="17"/>
      <c r="F820" s="22" t="str">
        <f aca="false">IF(D820="","",IFERROR(INDEX(Setup!$C$8:$C$37,MATCH(D820,Setup!$B$8:$B$37,0)),"Check category"))</f>
        <v/>
      </c>
      <c r="G820" s="23" t="str">
        <f aca="false">IF(B820="","",MONTH(B820))</f>
        <v/>
      </c>
      <c r="H820" s="23" t="str">
        <f aca="false">IF(B820="","",YEAR(B820))</f>
        <v/>
      </c>
    </row>
    <row r="821" customFormat="false" ht="15" hidden="false" customHeight="false" outlineLevel="0" collapsed="false">
      <c r="B821" s="21"/>
      <c r="C821" s="16"/>
      <c r="D821" s="16"/>
      <c r="E821" s="17"/>
      <c r="F821" s="22" t="str">
        <f aca="false">IF(D821="","",IFERROR(INDEX(Setup!$C$8:$C$37,MATCH(D821,Setup!$B$8:$B$37,0)),"Check category"))</f>
        <v/>
      </c>
      <c r="G821" s="23" t="str">
        <f aca="false">IF(B821="","",MONTH(B821))</f>
        <v/>
      </c>
      <c r="H821" s="23" t="str">
        <f aca="false">IF(B821="","",YEAR(B821))</f>
        <v/>
      </c>
    </row>
    <row r="822" customFormat="false" ht="15" hidden="false" customHeight="false" outlineLevel="0" collapsed="false">
      <c r="B822" s="21"/>
      <c r="C822" s="16"/>
      <c r="D822" s="16"/>
      <c r="E822" s="17"/>
      <c r="F822" s="22" t="str">
        <f aca="false">IF(D822="","",IFERROR(INDEX(Setup!$C$8:$C$37,MATCH(D822,Setup!$B$8:$B$37,0)),"Check category"))</f>
        <v/>
      </c>
      <c r="G822" s="23" t="str">
        <f aca="false">IF(B822="","",MONTH(B822))</f>
        <v/>
      </c>
      <c r="H822" s="23" t="str">
        <f aca="false">IF(B822="","",YEAR(B822))</f>
        <v/>
      </c>
    </row>
    <row r="823" customFormat="false" ht="15" hidden="false" customHeight="false" outlineLevel="0" collapsed="false">
      <c r="B823" s="21"/>
      <c r="C823" s="16"/>
      <c r="D823" s="16"/>
      <c r="E823" s="17"/>
      <c r="F823" s="22" t="str">
        <f aca="false">IF(D823="","",IFERROR(INDEX(Setup!$C$8:$C$37,MATCH(D823,Setup!$B$8:$B$37,0)),"Check category"))</f>
        <v/>
      </c>
      <c r="G823" s="23" t="str">
        <f aca="false">IF(B823="","",MONTH(B823))</f>
        <v/>
      </c>
      <c r="H823" s="23" t="str">
        <f aca="false">IF(B823="","",YEAR(B823))</f>
        <v/>
      </c>
    </row>
    <row r="824" customFormat="false" ht="15" hidden="false" customHeight="false" outlineLevel="0" collapsed="false">
      <c r="B824" s="21"/>
      <c r="C824" s="16"/>
      <c r="D824" s="16"/>
      <c r="E824" s="17"/>
      <c r="F824" s="22" t="str">
        <f aca="false">IF(D824="","",IFERROR(INDEX(Setup!$C$8:$C$37,MATCH(D824,Setup!$B$8:$B$37,0)),"Check category"))</f>
        <v/>
      </c>
      <c r="G824" s="23" t="str">
        <f aca="false">IF(B824="","",MONTH(B824))</f>
        <v/>
      </c>
      <c r="H824" s="23" t="str">
        <f aca="false">IF(B824="","",YEAR(B824))</f>
        <v/>
      </c>
    </row>
    <row r="825" customFormat="false" ht="15" hidden="false" customHeight="false" outlineLevel="0" collapsed="false">
      <c r="B825" s="21"/>
      <c r="C825" s="16"/>
      <c r="D825" s="16"/>
      <c r="E825" s="17"/>
      <c r="F825" s="22" t="str">
        <f aca="false">IF(D825="","",IFERROR(INDEX(Setup!$C$8:$C$37,MATCH(D825,Setup!$B$8:$B$37,0)),"Check category"))</f>
        <v/>
      </c>
      <c r="G825" s="23" t="str">
        <f aca="false">IF(B825="","",MONTH(B825))</f>
        <v/>
      </c>
      <c r="H825" s="23" t="str">
        <f aca="false">IF(B825="","",YEAR(B825))</f>
        <v/>
      </c>
    </row>
    <row r="826" customFormat="false" ht="15" hidden="false" customHeight="false" outlineLevel="0" collapsed="false">
      <c r="B826" s="21"/>
      <c r="C826" s="16"/>
      <c r="D826" s="16"/>
      <c r="E826" s="17"/>
      <c r="F826" s="22" t="str">
        <f aca="false">IF(D826="","",IFERROR(INDEX(Setup!$C$8:$C$37,MATCH(D826,Setup!$B$8:$B$37,0)),"Check category"))</f>
        <v/>
      </c>
      <c r="G826" s="23" t="str">
        <f aca="false">IF(B826="","",MONTH(B826))</f>
        <v/>
      </c>
      <c r="H826" s="23" t="str">
        <f aca="false">IF(B826="","",YEAR(B826))</f>
        <v/>
      </c>
    </row>
    <row r="827" customFormat="false" ht="15" hidden="false" customHeight="false" outlineLevel="0" collapsed="false">
      <c r="B827" s="21"/>
      <c r="C827" s="16"/>
      <c r="D827" s="16"/>
      <c r="E827" s="17"/>
      <c r="F827" s="22" t="str">
        <f aca="false">IF(D827="","",IFERROR(INDEX(Setup!$C$8:$C$37,MATCH(D827,Setup!$B$8:$B$37,0)),"Check category"))</f>
        <v/>
      </c>
      <c r="G827" s="23" t="str">
        <f aca="false">IF(B827="","",MONTH(B827))</f>
        <v/>
      </c>
      <c r="H827" s="23" t="str">
        <f aca="false">IF(B827="","",YEAR(B827))</f>
        <v/>
      </c>
    </row>
    <row r="828" customFormat="false" ht="15" hidden="false" customHeight="false" outlineLevel="0" collapsed="false">
      <c r="B828" s="21"/>
      <c r="C828" s="16"/>
      <c r="D828" s="16"/>
      <c r="E828" s="17"/>
      <c r="F828" s="22" t="str">
        <f aca="false">IF(D828="","",IFERROR(INDEX(Setup!$C$8:$C$37,MATCH(D828,Setup!$B$8:$B$37,0)),"Check category"))</f>
        <v/>
      </c>
      <c r="G828" s="23" t="str">
        <f aca="false">IF(B828="","",MONTH(B828))</f>
        <v/>
      </c>
      <c r="H828" s="23" t="str">
        <f aca="false">IF(B828="","",YEAR(B828))</f>
        <v/>
      </c>
    </row>
    <row r="829" customFormat="false" ht="15" hidden="false" customHeight="false" outlineLevel="0" collapsed="false">
      <c r="B829" s="21"/>
      <c r="C829" s="16"/>
      <c r="D829" s="16"/>
      <c r="E829" s="17"/>
      <c r="F829" s="22" t="str">
        <f aca="false">IF(D829="","",IFERROR(INDEX(Setup!$C$8:$C$37,MATCH(D829,Setup!$B$8:$B$37,0)),"Check category"))</f>
        <v/>
      </c>
      <c r="G829" s="23" t="str">
        <f aca="false">IF(B829="","",MONTH(B829))</f>
        <v/>
      </c>
      <c r="H829" s="23" t="str">
        <f aca="false">IF(B829="","",YEAR(B829))</f>
        <v/>
      </c>
    </row>
    <row r="830" customFormat="false" ht="15" hidden="false" customHeight="false" outlineLevel="0" collapsed="false">
      <c r="B830" s="21"/>
      <c r="C830" s="16"/>
      <c r="D830" s="16"/>
      <c r="E830" s="17"/>
      <c r="F830" s="22" t="str">
        <f aca="false">IF(D830="","",IFERROR(INDEX(Setup!$C$8:$C$37,MATCH(D830,Setup!$B$8:$B$37,0)),"Check category"))</f>
        <v/>
      </c>
      <c r="G830" s="23" t="str">
        <f aca="false">IF(B830="","",MONTH(B830))</f>
        <v/>
      </c>
      <c r="H830" s="23" t="str">
        <f aca="false">IF(B830="","",YEAR(B830))</f>
        <v/>
      </c>
    </row>
    <row r="831" customFormat="false" ht="15" hidden="false" customHeight="false" outlineLevel="0" collapsed="false">
      <c r="B831" s="21"/>
      <c r="C831" s="16"/>
      <c r="D831" s="16"/>
      <c r="E831" s="17"/>
      <c r="F831" s="22" t="str">
        <f aca="false">IF(D831="","",IFERROR(INDEX(Setup!$C$8:$C$37,MATCH(D831,Setup!$B$8:$B$37,0)),"Check category"))</f>
        <v/>
      </c>
      <c r="G831" s="23" t="str">
        <f aca="false">IF(B831="","",MONTH(B831))</f>
        <v/>
      </c>
      <c r="H831" s="23" t="str">
        <f aca="false">IF(B831="","",YEAR(B831))</f>
        <v/>
      </c>
    </row>
    <row r="832" customFormat="false" ht="15" hidden="false" customHeight="false" outlineLevel="0" collapsed="false">
      <c r="B832" s="21"/>
      <c r="C832" s="16"/>
      <c r="D832" s="16"/>
      <c r="E832" s="17"/>
      <c r="F832" s="22" t="str">
        <f aca="false">IF(D832="","",IFERROR(INDEX(Setup!$C$8:$C$37,MATCH(D832,Setup!$B$8:$B$37,0)),"Check category"))</f>
        <v/>
      </c>
      <c r="G832" s="23" t="str">
        <f aca="false">IF(B832="","",MONTH(B832))</f>
        <v/>
      </c>
      <c r="H832" s="23" t="str">
        <f aca="false">IF(B832="","",YEAR(B832))</f>
        <v/>
      </c>
    </row>
    <row r="833" customFormat="false" ht="15" hidden="false" customHeight="false" outlineLevel="0" collapsed="false">
      <c r="B833" s="21"/>
      <c r="C833" s="16"/>
      <c r="D833" s="16"/>
      <c r="E833" s="17"/>
      <c r="F833" s="22" t="str">
        <f aca="false">IF(D833="","",IFERROR(INDEX(Setup!$C$8:$C$37,MATCH(D833,Setup!$B$8:$B$37,0)),"Check category"))</f>
        <v/>
      </c>
      <c r="G833" s="23" t="str">
        <f aca="false">IF(B833="","",MONTH(B833))</f>
        <v/>
      </c>
      <c r="H833" s="23" t="str">
        <f aca="false">IF(B833="","",YEAR(B833))</f>
        <v/>
      </c>
    </row>
    <row r="834" customFormat="false" ht="15" hidden="false" customHeight="false" outlineLevel="0" collapsed="false">
      <c r="B834" s="21"/>
      <c r="C834" s="16"/>
      <c r="D834" s="16"/>
      <c r="E834" s="17"/>
      <c r="F834" s="22" t="str">
        <f aca="false">IF(D834="","",IFERROR(INDEX(Setup!$C$8:$C$37,MATCH(D834,Setup!$B$8:$B$37,0)),"Check category"))</f>
        <v/>
      </c>
      <c r="G834" s="23" t="str">
        <f aca="false">IF(B834="","",MONTH(B834))</f>
        <v/>
      </c>
      <c r="H834" s="23" t="str">
        <f aca="false">IF(B834="","",YEAR(B834))</f>
        <v/>
      </c>
    </row>
    <row r="835" customFormat="false" ht="15" hidden="false" customHeight="false" outlineLevel="0" collapsed="false">
      <c r="B835" s="21"/>
      <c r="C835" s="16"/>
      <c r="D835" s="16"/>
      <c r="E835" s="17"/>
      <c r="F835" s="22" t="str">
        <f aca="false">IF(D835="","",IFERROR(INDEX(Setup!$C$8:$C$37,MATCH(D835,Setup!$B$8:$B$37,0)),"Check category"))</f>
        <v/>
      </c>
      <c r="G835" s="23" t="str">
        <f aca="false">IF(B835="","",MONTH(B835))</f>
        <v/>
      </c>
      <c r="H835" s="23" t="str">
        <f aca="false">IF(B835="","",YEAR(B835))</f>
        <v/>
      </c>
    </row>
    <row r="836" customFormat="false" ht="15" hidden="false" customHeight="false" outlineLevel="0" collapsed="false">
      <c r="B836" s="21"/>
      <c r="C836" s="16"/>
      <c r="D836" s="16"/>
      <c r="E836" s="17"/>
      <c r="F836" s="22" t="str">
        <f aca="false">IF(D836="","",IFERROR(INDEX(Setup!$C$8:$C$37,MATCH(D836,Setup!$B$8:$B$37,0)),"Check category"))</f>
        <v/>
      </c>
      <c r="G836" s="23" t="str">
        <f aca="false">IF(B836="","",MONTH(B836))</f>
        <v/>
      </c>
      <c r="H836" s="23" t="str">
        <f aca="false">IF(B836="","",YEAR(B836))</f>
        <v/>
      </c>
    </row>
    <row r="837" customFormat="false" ht="15" hidden="false" customHeight="false" outlineLevel="0" collapsed="false">
      <c r="B837" s="21"/>
      <c r="C837" s="16"/>
      <c r="D837" s="16"/>
      <c r="E837" s="17"/>
      <c r="F837" s="22" t="str">
        <f aca="false">IF(D837="","",IFERROR(INDEX(Setup!$C$8:$C$37,MATCH(D837,Setup!$B$8:$B$37,0)),"Check category"))</f>
        <v/>
      </c>
      <c r="G837" s="23" t="str">
        <f aca="false">IF(B837="","",MONTH(B837))</f>
        <v/>
      </c>
      <c r="H837" s="23" t="str">
        <f aca="false">IF(B837="","",YEAR(B837))</f>
        <v/>
      </c>
    </row>
    <row r="838" customFormat="false" ht="15" hidden="false" customHeight="false" outlineLevel="0" collapsed="false">
      <c r="B838" s="21"/>
      <c r="C838" s="16"/>
      <c r="D838" s="16"/>
      <c r="E838" s="17"/>
      <c r="F838" s="22" t="str">
        <f aca="false">IF(D838="","",IFERROR(INDEX(Setup!$C$8:$C$37,MATCH(D838,Setup!$B$8:$B$37,0)),"Check category"))</f>
        <v/>
      </c>
      <c r="G838" s="23" t="str">
        <f aca="false">IF(B838="","",MONTH(B838))</f>
        <v/>
      </c>
      <c r="H838" s="23" t="str">
        <f aca="false">IF(B838="","",YEAR(B838))</f>
        <v/>
      </c>
    </row>
    <row r="839" customFormat="false" ht="15" hidden="false" customHeight="false" outlineLevel="0" collapsed="false">
      <c r="B839" s="21"/>
      <c r="C839" s="16"/>
      <c r="D839" s="16"/>
      <c r="E839" s="17"/>
      <c r="F839" s="22" t="str">
        <f aca="false">IF(D839="","",IFERROR(INDEX(Setup!$C$8:$C$37,MATCH(D839,Setup!$B$8:$B$37,0)),"Check category"))</f>
        <v/>
      </c>
      <c r="G839" s="23" t="str">
        <f aca="false">IF(B839="","",MONTH(B839))</f>
        <v/>
      </c>
      <c r="H839" s="23" t="str">
        <f aca="false">IF(B839="","",YEAR(B839))</f>
        <v/>
      </c>
    </row>
    <row r="840" customFormat="false" ht="15" hidden="false" customHeight="false" outlineLevel="0" collapsed="false">
      <c r="B840" s="21"/>
      <c r="C840" s="16"/>
      <c r="D840" s="16"/>
      <c r="E840" s="17"/>
      <c r="F840" s="22" t="str">
        <f aca="false">IF(D840="","",IFERROR(INDEX(Setup!$C$8:$C$37,MATCH(D840,Setup!$B$8:$B$37,0)),"Check category"))</f>
        <v/>
      </c>
      <c r="G840" s="23" t="str">
        <f aca="false">IF(B840="","",MONTH(B840))</f>
        <v/>
      </c>
      <c r="H840" s="23" t="str">
        <f aca="false">IF(B840="","",YEAR(B840))</f>
        <v/>
      </c>
    </row>
    <row r="841" customFormat="false" ht="15" hidden="false" customHeight="false" outlineLevel="0" collapsed="false">
      <c r="B841" s="21"/>
      <c r="C841" s="16"/>
      <c r="D841" s="16"/>
      <c r="E841" s="17"/>
      <c r="F841" s="22" t="str">
        <f aca="false">IF(D841="","",IFERROR(INDEX(Setup!$C$8:$C$37,MATCH(D841,Setup!$B$8:$B$37,0)),"Check category"))</f>
        <v/>
      </c>
      <c r="G841" s="23" t="str">
        <f aca="false">IF(B841="","",MONTH(B841))</f>
        <v/>
      </c>
      <c r="H841" s="23" t="str">
        <f aca="false">IF(B841="","",YEAR(B841))</f>
        <v/>
      </c>
    </row>
    <row r="842" customFormat="false" ht="15" hidden="false" customHeight="false" outlineLevel="0" collapsed="false">
      <c r="B842" s="21"/>
      <c r="C842" s="16"/>
      <c r="D842" s="16"/>
      <c r="E842" s="17"/>
      <c r="F842" s="22" t="str">
        <f aca="false">IF(D842="","",IFERROR(INDEX(Setup!$C$8:$C$37,MATCH(D842,Setup!$B$8:$B$37,0)),"Check category"))</f>
        <v/>
      </c>
      <c r="G842" s="23" t="str">
        <f aca="false">IF(B842="","",MONTH(B842))</f>
        <v/>
      </c>
      <c r="H842" s="23" t="str">
        <f aca="false">IF(B842="","",YEAR(B842))</f>
        <v/>
      </c>
    </row>
    <row r="843" customFormat="false" ht="15" hidden="false" customHeight="false" outlineLevel="0" collapsed="false">
      <c r="B843" s="21"/>
      <c r="C843" s="16"/>
      <c r="D843" s="16"/>
      <c r="E843" s="17"/>
      <c r="F843" s="22" t="str">
        <f aca="false">IF(D843="","",IFERROR(INDEX(Setup!$C$8:$C$37,MATCH(D843,Setup!$B$8:$B$37,0)),"Check category"))</f>
        <v/>
      </c>
      <c r="G843" s="23" t="str">
        <f aca="false">IF(B843="","",MONTH(B843))</f>
        <v/>
      </c>
      <c r="H843" s="23" t="str">
        <f aca="false">IF(B843="","",YEAR(B843))</f>
        <v/>
      </c>
    </row>
    <row r="844" customFormat="false" ht="15" hidden="false" customHeight="false" outlineLevel="0" collapsed="false">
      <c r="B844" s="21"/>
      <c r="C844" s="16"/>
      <c r="D844" s="16"/>
      <c r="E844" s="17"/>
      <c r="F844" s="22" t="str">
        <f aca="false">IF(D844="","",IFERROR(INDEX(Setup!$C$8:$C$37,MATCH(D844,Setup!$B$8:$B$37,0)),"Check category"))</f>
        <v/>
      </c>
      <c r="G844" s="23" t="str">
        <f aca="false">IF(B844="","",MONTH(B844))</f>
        <v/>
      </c>
      <c r="H844" s="23" t="str">
        <f aca="false">IF(B844="","",YEAR(B844))</f>
        <v/>
      </c>
    </row>
    <row r="845" customFormat="false" ht="15" hidden="false" customHeight="false" outlineLevel="0" collapsed="false">
      <c r="B845" s="21"/>
      <c r="C845" s="16"/>
      <c r="D845" s="16"/>
      <c r="E845" s="17"/>
      <c r="F845" s="22" t="str">
        <f aca="false">IF(D845="","",IFERROR(INDEX(Setup!$C$8:$C$37,MATCH(D845,Setup!$B$8:$B$37,0)),"Check category"))</f>
        <v/>
      </c>
      <c r="G845" s="23" t="str">
        <f aca="false">IF(B845="","",MONTH(B845))</f>
        <v/>
      </c>
      <c r="H845" s="23" t="str">
        <f aca="false">IF(B845="","",YEAR(B845))</f>
        <v/>
      </c>
    </row>
    <row r="846" customFormat="false" ht="15" hidden="false" customHeight="false" outlineLevel="0" collapsed="false">
      <c r="B846" s="21"/>
      <c r="C846" s="16"/>
      <c r="D846" s="16"/>
      <c r="E846" s="17"/>
      <c r="F846" s="22" t="str">
        <f aca="false">IF(D846="","",IFERROR(INDEX(Setup!$C$8:$C$37,MATCH(D846,Setup!$B$8:$B$37,0)),"Check category"))</f>
        <v/>
      </c>
      <c r="G846" s="23" t="str">
        <f aca="false">IF(B846="","",MONTH(B846))</f>
        <v/>
      </c>
      <c r="H846" s="23" t="str">
        <f aca="false">IF(B846="","",YEAR(B846))</f>
        <v/>
      </c>
    </row>
    <row r="847" customFormat="false" ht="15" hidden="false" customHeight="false" outlineLevel="0" collapsed="false">
      <c r="B847" s="21"/>
      <c r="C847" s="16"/>
      <c r="D847" s="16"/>
      <c r="E847" s="17"/>
      <c r="F847" s="22" t="str">
        <f aca="false">IF(D847="","",IFERROR(INDEX(Setup!$C$8:$C$37,MATCH(D847,Setup!$B$8:$B$37,0)),"Check category"))</f>
        <v/>
      </c>
      <c r="G847" s="23" t="str">
        <f aca="false">IF(B847="","",MONTH(B847))</f>
        <v/>
      </c>
      <c r="H847" s="23" t="str">
        <f aca="false">IF(B847="","",YEAR(B847))</f>
        <v/>
      </c>
    </row>
    <row r="848" customFormat="false" ht="15" hidden="false" customHeight="false" outlineLevel="0" collapsed="false">
      <c r="B848" s="21"/>
      <c r="C848" s="16"/>
      <c r="D848" s="16"/>
      <c r="E848" s="17"/>
      <c r="F848" s="22" t="str">
        <f aca="false">IF(D848="","",IFERROR(INDEX(Setup!$C$8:$C$37,MATCH(D848,Setup!$B$8:$B$37,0)),"Check category"))</f>
        <v/>
      </c>
      <c r="G848" s="23" t="str">
        <f aca="false">IF(B848="","",MONTH(B848))</f>
        <v/>
      </c>
      <c r="H848" s="23" t="str">
        <f aca="false">IF(B848="","",YEAR(B848))</f>
        <v/>
      </c>
    </row>
    <row r="849" customFormat="false" ht="15" hidden="false" customHeight="false" outlineLevel="0" collapsed="false">
      <c r="B849" s="21"/>
      <c r="C849" s="16"/>
      <c r="D849" s="16"/>
      <c r="E849" s="17"/>
      <c r="F849" s="22" t="str">
        <f aca="false">IF(D849="","",IFERROR(INDEX(Setup!$C$8:$C$37,MATCH(D849,Setup!$B$8:$B$37,0)),"Check category"))</f>
        <v/>
      </c>
      <c r="G849" s="23" t="str">
        <f aca="false">IF(B849="","",MONTH(B849))</f>
        <v/>
      </c>
      <c r="H849" s="23" t="str">
        <f aca="false">IF(B849="","",YEAR(B849))</f>
        <v/>
      </c>
    </row>
    <row r="850" customFormat="false" ht="15" hidden="false" customHeight="false" outlineLevel="0" collapsed="false">
      <c r="B850" s="21"/>
      <c r="C850" s="16"/>
      <c r="D850" s="16"/>
      <c r="E850" s="17"/>
      <c r="F850" s="22" t="str">
        <f aca="false">IF(D850="","",IFERROR(INDEX(Setup!$C$8:$C$37,MATCH(D850,Setup!$B$8:$B$37,0)),"Check category"))</f>
        <v/>
      </c>
      <c r="G850" s="23" t="str">
        <f aca="false">IF(B850="","",MONTH(B850))</f>
        <v/>
      </c>
      <c r="H850" s="23" t="str">
        <f aca="false">IF(B850="","",YEAR(B850))</f>
        <v/>
      </c>
    </row>
    <row r="851" customFormat="false" ht="15" hidden="false" customHeight="false" outlineLevel="0" collapsed="false">
      <c r="B851" s="21"/>
      <c r="C851" s="16"/>
      <c r="D851" s="16"/>
      <c r="E851" s="17"/>
      <c r="F851" s="22" t="str">
        <f aca="false">IF(D851="","",IFERROR(INDEX(Setup!$C$8:$C$37,MATCH(D851,Setup!$B$8:$B$37,0)),"Check category"))</f>
        <v/>
      </c>
      <c r="G851" s="23" t="str">
        <f aca="false">IF(B851="","",MONTH(B851))</f>
        <v/>
      </c>
      <c r="H851" s="23" t="str">
        <f aca="false">IF(B851="","",YEAR(B851))</f>
        <v/>
      </c>
    </row>
    <row r="852" customFormat="false" ht="15" hidden="false" customHeight="false" outlineLevel="0" collapsed="false">
      <c r="B852" s="21"/>
      <c r="C852" s="16"/>
      <c r="D852" s="16"/>
      <c r="E852" s="17"/>
      <c r="F852" s="22" t="str">
        <f aca="false">IF(D852="","",IFERROR(INDEX(Setup!$C$8:$C$37,MATCH(D852,Setup!$B$8:$B$37,0)),"Check category"))</f>
        <v/>
      </c>
      <c r="G852" s="23" t="str">
        <f aca="false">IF(B852="","",MONTH(B852))</f>
        <v/>
      </c>
      <c r="H852" s="23" t="str">
        <f aca="false">IF(B852="","",YEAR(B852))</f>
        <v/>
      </c>
    </row>
    <row r="853" customFormat="false" ht="15" hidden="false" customHeight="false" outlineLevel="0" collapsed="false">
      <c r="B853" s="21"/>
      <c r="C853" s="16"/>
      <c r="D853" s="16"/>
      <c r="E853" s="17"/>
      <c r="F853" s="22" t="str">
        <f aca="false">IF(D853="","",IFERROR(INDEX(Setup!$C$8:$C$37,MATCH(D853,Setup!$B$8:$B$37,0)),"Check category"))</f>
        <v/>
      </c>
      <c r="G853" s="23" t="str">
        <f aca="false">IF(B853="","",MONTH(B853))</f>
        <v/>
      </c>
      <c r="H853" s="23" t="str">
        <f aca="false">IF(B853="","",YEAR(B853))</f>
        <v/>
      </c>
    </row>
    <row r="854" customFormat="false" ht="15" hidden="false" customHeight="false" outlineLevel="0" collapsed="false">
      <c r="B854" s="21"/>
      <c r="C854" s="16"/>
      <c r="D854" s="16"/>
      <c r="E854" s="17"/>
      <c r="F854" s="22" t="str">
        <f aca="false">IF(D854="","",IFERROR(INDEX(Setup!$C$8:$C$37,MATCH(D854,Setup!$B$8:$B$37,0)),"Check category"))</f>
        <v/>
      </c>
      <c r="G854" s="23" t="str">
        <f aca="false">IF(B854="","",MONTH(B854))</f>
        <v/>
      </c>
      <c r="H854" s="23" t="str">
        <f aca="false">IF(B854="","",YEAR(B854))</f>
        <v/>
      </c>
    </row>
    <row r="855" customFormat="false" ht="15" hidden="false" customHeight="false" outlineLevel="0" collapsed="false">
      <c r="B855" s="21"/>
      <c r="C855" s="16"/>
      <c r="D855" s="16"/>
      <c r="E855" s="17"/>
      <c r="F855" s="22" t="str">
        <f aca="false">IF(D855="","",IFERROR(INDEX(Setup!$C$8:$C$37,MATCH(D855,Setup!$B$8:$B$37,0)),"Check category"))</f>
        <v/>
      </c>
      <c r="G855" s="23" t="str">
        <f aca="false">IF(B855="","",MONTH(B855))</f>
        <v/>
      </c>
      <c r="H855" s="23" t="str">
        <f aca="false">IF(B855="","",YEAR(B855))</f>
        <v/>
      </c>
    </row>
    <row r="856" customFormat="false" ht="15" hidden="false" customHeight="false" outlineLevel="0" collapsed="false">
      <c r="B856" s="21"/>
      <c r="C856" s="16"/>
      <c r="D856" s="16"/>
      <c r="E856" s="17"/>
      <c r="F856" s="22" t="str">
        <f aca="false">IF(D856="","",IFERROR(INDEX(Setup!$C$8:$C$37,MATCH(D856,Setup!$B$8:$B$37,0)),"Check category"))</f>
        <v/>
      </c>
      <c r="G856" s="23" t="str">
        <f aca="false">IF(B856="","",MONTH(B856))</f>
        <v/>
      </c>
      <c r="H856" s="23" t="str">
        <f aca="false">IF(B856="","",YEAR(B856))</f>
        <v/>
      </c>
    </row>
    <row r="857" customFormat="false" ht="15" hidden="false" customHeight="false" outlineLevel="0" collapsed="false">
      <c r="B857" s="21"/>
      <c r="C857" s="16"/>
      <c r="D857" s="16"/>
      <c r="E857" s="17"/>
      <c r="F857" s="22" t="str">
        <f aca="false">IF(D857="","",IFERROR(INDEX(Setup!$C$8:$C$37,MATCH(D857,Setup!$B$8:$B$37,0)),"Check category"))</f>
        <v/>
      </c>
      <c r="G857" s="23" t="str">
        <f aca="false">IF(B857="","",MONTH(B857))</f>
        <v/>
      </c>
      <c r="H857" s="23" t="str">
        <f aca="false">IF(B857="","",YEAR(B857))</f>
        <v/>
      </c>
    </row>
    <row r="858" customFormat="false" ht="15" hidden="false" customHeight="false" outlineLevel="0" collapsed="false">
      <c r="B858" s="21"/>
      <c r="C858" s="16"/>
      <c r="D858" s="16"/>
      <c r="E858" s="17"/>
      <c r="F858" s="22" t="str">
        <f aca="false">IF(D858="","",IFERROR(INDEX(Setup!$C$8:$C$37,MATCH(D858,Setup!$B$8:$B$37,0)),"Check category"))</f>
        <v/>
      </c>
      <c r="G858" s="23" t="str">
        <f aca="false">IF(B858="","",MONTH(B858))</f>
        <v/>
      </c>
      <c r="H858" s="23" t="str">
        <f aca="false">IF(B858="","",YEAR(B858))</f>
        <v/>
      </c>
    </row>
    <row r="859" customFormat="false" ht="15" hidden="false" customHeight="false" outlineLevel="0" collapsed="false">
      <c r="B859" s="21"/>
      <c r="C859" s="16"/>
      <c r="D859" s="16"/>
      <c r="E859" s="17"/>
      <c r="F859" s="22" t="str">
        <f aca="false">IF(D859="","",IFERROR(INDEX(Setup!$C$8:$C$37,MATCH(D859,Setup!$B$8:$B$37,0)),"Check category"))</f>
        <v/>
      </c>
      <c r="G859" s="23" t="str">
        <f aca="false">IF(B859="","",MONTH(B859))</f>
        <v/>
      </c>
      <c r="H859" s="23" t="str">
        <f aca="false">IF(B859="","",YEAR(B859))</f>
        <v/>
      </c>
    </row>
    <row r="860" customFormat="false" ht="15" hidden="false" customHeight="false" outlineLevel="0" collapsed="false">
      <c r="B860" s="21"/>
      <c r="C860" s="16"/>
      <c r="D860" s="16"/>
      <c r="E860" s="17"/>
      <c r="F860" s="22" t="str">
        <f aca="false">IF(D860="","",IFERROR(INDEX(Setup!$C$8:$C$37,MATCH(D860,Setup!$B$8:$B$37,0)),"Check category"))</f>
        <v/>
      </c>
      <c r="G860" s="23" t="str">
        <f aca="false">IF(B860="","",MONTH(B860))</f>
        <v/>
      </c>
      <c r="H860" s="23" t="str">
        <f aca="false">IF(B860="","",YEAR(B860))</f>
        <v/>
      </c>
    </row>
    <row r="861" customFormat="false" ht="15" hidden="false" customHeight="false" outlineLevel="0" collapsed="false">
      <c r="B861" s="21"/>
      <c r="C861" s="16"/>
      <c r="D861" s="16"/>
      <c r="E861" s="17"/>
      <c r="F861" s="22" t="str">
        <f aca="false">IF(D861="","",IFERROR(INDEX(Setup!$C$8:$C$37,MATCH(D861,Setup!$B$8:$B$37,0)),"Check category"))</f>
        <v/>
      </c>
      <c r="G861" s="23" t="str">
        <f aca="false">IF(B861="","",MONTH(B861))</f>
        <v/>
      </c>
      <c r="H861" s="23" t="str">
        <f aca="false">IF(B861="","",YEAR(B861))</f>
        <v/>
      </c>
    </row>
    <row r="862" customFormat="false" ht="15" hidden="false" customHeight="false" outlineLevel="0" collapsed="false">
      <c r="B862" s="21"/>
      <c r="C862" s="16"/>
      <c r="D862" s="16"/>
      <c r="E862" s="17"/>
      <c r="F862" s="22" t="str">
        <f aca="false">IF(D862="","",IFERROR(INDEX(Setup!$C$8:$C$37,MATCH(D862,Setup!$B$8:$B$37,0)),"Check category"))</f>
        <v/>
      </c>
      <c r="G862" s="23" t="str">
        <f aca="false">IF(B862="","",MONTH(B862))</f>
        <v/>
      </c>
      <c r="H862" s="23" t="str">
        <f aca="false">IF(B862="","",YEAR(B862))</f>
        <v/>
      </c>
    </row>
    <row r="863" customFormat="false" ht="15" hidden="false" customHeight="false" outlineLevel="0" collapsed="false">
      <c r="B863" s="21"/>
      <c r="C863" s="16"/>
      <c r="D863" s="16"/>
      <c r="E863" s="17"/>
      <c r="F863" s="22" t="str">
        <f aca="false">IF(D863="","",IFERROR(INDEX(Setup!$C$8:$C$37,MATCH(D863,Setup!$B$8:$B$37,0)),"Check category"))</f>
        <v/>
      </c>
      <c r="G863" s="23" t="str">
        <f aca="false">IF(B863="","",MONTH(B863))</f>
        <v/>
      </c>
      <c r="H863" s="23" t="str">
        <f aca="false">IF(B863="","",YEAR(B863))</f>
        <v/>
      </c>
    </row>
    <row r="864" customFormat="false" ht="15" hidden="false" customHeight="false" outlineLevel="0" collapsed="false">
      <c r="B864" s="21"/>
      <c r="C864" s="16"/>
      <c r="D864" s="16"/>
      <c r="E864" s="17"/>
      <c r="F864" s="22" t="str">
        <f aca="false">IF(D864="","",IFERROR(INDEX(Setup!$C$8:$C$37,MATCH(D864,Setup!$B$8:$B$37,0)),"Check category"))</f>
        <v/>
      </c>
      <c r="G864" s="23" t="str">
        <f aca="false">IF(B864="","",MONTH(B864))</f>
        <v/>
      </c>
      <c r="H864" s="23" t="str">
        <f aca="false">IF(B864="","",YEAR(B864))</f>
        <v/>
      </c>
    </row>
    <row r="865" customFormat="false" ht="15" hidden="false" customHeight="false" outlineLevel="0" collapsed="false">
      <c r="B865" s="21"/>
      <c r="C865" s="16"/>
      <c r="D865" s="16"/>
      <c r="E865" s="17"/>
      <c r="F865" s="22" t="str">
        <f aca="false">IF(D865="","",IFERROR(INDEX(Setup!$C$8:$C$37,MATCH(D865,Setup!$B$8:$B$37,0)),"Check category"))</f>
        <v/>
      </c>
      <c r="G865" s="23" t="str">
        <f aca="false">IF(B865="","",MONTH(B865))</f>
        <v/>
      </c>
      <c r="H865" s="23" t="str">
        <f aca="false">IF(B865="","",YEAR(B865))</f>
        <v/>
      </c>
    </row>
    <row r="866" customFormat="false" ht="15" hidden="false" customHeight="false" outlineLevel="0" collapsed="false">
      <c r="B866" s="21"/>
      <c r="C866" s="16"/>
      <c r="D866" s="16"/>
      <c r="E866" s="17"/>
      <c r="F866" s="22" t="str">
        <f aca="false">IF(D866="","",IFERROR(INDEX(Setup!$C$8:$C$37,MATCH(D866,Setup!$B$8:$B$37,0)),"Check category"))</f>
        <v/>
      </c>
      <c r="G866" s="23" t="str">
        <f aca="false">IF(B866="","",MONTH(B866))</f>
        <v/>
      </c>
      <c r="H866" s="23" t="str">
        <f aca="false">IF(B866="","",YEAR(B866))</f>
        <v/>
      </c>
    </row>
    <row r="867" customFormat="false" ht="15" hidden="false" customHeight="false" outlineLevel="0" collapsed="false">
      <c r="B867" s="21"/>
      <c r="C867" s="16"/>
      <c r="D867" s="16"/>
      <c r="E867" s="17"/>
      <c r="F867" s="22" t="str">
        <f aca="false">IF(D867="","",IFERROR(INDEX(Setup!$C$8:$C$37,MATCH(D867,Setup!$B$8:$B$37,0)),"Check category"))</f>
        <v/>
      </c>
      <c r="G867" s="23" t="str">
        <f aca="false">IF(B867="","",MONTH(B867))</f>
        <v/>
      </c>
      <c r="H867" s="23" t="str">
        <f aca="false">IF(B867="","",YEAR(B867))</f>
        <v/>
      </c>
    </row>
    <row r="868" customFormat="false" ht="15" hidden="false" customHeight="false" outlineLevel="0" collapsed="false">
      <c r="B868" s="21"/>
      <c r="C868" s="16"/>
      <c r="D868" s="16"/>
      <c r="E868" s="17"/>
      <c r="F868" s="22" t="str">
        <f aca="false">IF(D868="","",IFERROR(INDEX(Setup!$C$8:$C$37,MATCH(D868,Setup!$B$8:$B$37,0)),"Check category"))</f>
        <v/>
      </c>
      <c r="G868" s="23" t="str">
        <f aca="false">IF(B868="","",MONTH(B868))</f>
        <v/>
      </c>
      <c r="H868" s="23" t="str">
        <f aca="false">IF(B868="","",YEAR(B868))</f>
        <v/>
      </c>
    </row>
    <row r="869" customFormat="false" ht="15" hidden="false" customHeight="false" outlineLevel="0" collapsed="false">
      <c r="B869" s="21"/>
      <c r="C869" s="16"/>
      <c r="D869" s="16"/>
      <c r="E869" s="17"/>
      <c r="F869" s="22" t="str">
        <f aca="false">IF(D869="","",IFERROR(INDEX(Setup!$C$8:$C$37,MATCH(D869,Setup!$B$8:$B$37,0)),"Check category"))</f>
        <v/>
      </c>
      <c r="G869" s="23" t="str">
        <f aca="false">IF(B869="","",MONTH(B869))</f>
        <v/>
      </c>
      <c r="H869" s="23" t="str">
        <f aca="false">IF(B869="","",YEAR(B869))</f>
        <v/>
      </c>
    </row>
    <row r="870" customFormat="false" ht="15" hidden="false" customHeight="false" outlineLevel="0" collapsed="false">
      <c r="B870" s="21"/>
      <c r="C870" s="16"/>
      <c r="D870" s="16"/>
      <c r="E870" s="17"/>
      <c r="F870" s="22" t="str">
        <f aca="false">IF(D870="","",IFERROR(INDEX(Setup!$C$8:$C$37,MATCH(D870,Setup!$B$8:$B$37,0)),"Check category"))</f>
        <v/>
      </c>
      <c r="G870" s="23" t="str">
        <f aca="false">IF(B870="","",MONTH(B870))</f>
        <v/>
      </c>
      <c r="H870" s="23" t="str">
        <f aca="false">IF(B870="","",YEAR(B870))</f>
        <v/>
      </c>
    </row>
    <row r="871" customFormat="false" ht="15" hidden="false" customHeight="false" outlineLevel="0" collapsed="false">
      <c r="B871" s="21"/>
      <c r="C871" s="16"/>
      <c r="D871" s="16"/>
      <c r="E871" s="17"/>
      <c r="F871" s="22" t="str">
        <f aca="false">IF(D871="","",IFERROR(INDEX(Setup!$C$8:$C$37,MATCH(D871,Setup!$B$8:$B$37,0)),"Check category"))</f>
        <v/>
      </c>
      <c r="G871" s="23" t="str">
        <f aca="false">IF(B871="","",MONTH(B871))</f>
        <v/>
      </c>
      <c r="H871" s="23" t="str">
        <f aca="false">IF(B871="","",YEAR(B871))</f>
        <v/>
      </c>
    </row>
    <row r="872" customFormat="false" ht="15" hidden="false" customHeight="false" outlineLevel="0" collapsed="false">
      <c r="B872" s="21"/>
      <c r="C872" s="16"/>
      <c r="D872" s="16"/>
      <c r="E872" s="17"/>
      <c r="F872" s="22" t="str">
        <f aca="false">IF(D872="","",IFERROR(INDEX(Setup!$C$8:$C$37,MATCH(D872,Setup!$B$8:$B$37,0)),"Check category"))</f>
        <v/>
      </c>
      <c r="G872" s="23" t="str">
        <f aca="false">IF(B872="","",MONTH(B872))</f>
        <v/>
      </c>
      <c r="H872" s="23" t="str">
        <f aca="false">IF(B872="","",YEAR(B872))</f>
        <v/>
      </c>
    </row>
    <row r="873" customFormat="false" ht="15" hidden="false" customHeight="false" outlineLevel="0" collapsed="false">
      <c r="B873" s="21"/>
      <c r="C873" s="16"/>
      <c r="D873" s="16"/>
      <c r="E873" s="17"/>
      <c r="F873" s="22" t="str">
        <f aca="false">IF(D873="","",IFERROR(INDEX(Setup!$C$8:$C$37,MATCH(D873,Setup!$B$8:$B$37,0)),"Check category"))</f>
        <v/>
      </c>
      <c r="G873" s="23" t="str">
        <f aca="false">IF(B873="","",MONTH(B873))</f>
        <v/>
      </c>
      <c r="H873" s="23" t="str">
        <f aca="false">IF(B873="","",YEAR(B873))</f>
        <v/>
      </c>
    </row>
    <row r="874" customFormat="false" ht="15" hidden="false" customHeight="false" outlineLevel="0" collapsed="false">
      <c r="B874" s="21"/>
      <c r="C874" s="16"/>
      <c r="D874" s="16"/>
      <c r="E874" s="17"/>
      <c r="F874" s="22" t="str">
        <f aca="false">IF(D874="","",IFERROR(INDEX(Setup!$C$8:$C$37,MATCH(D874,Setup!$B$8:$B$37,0)),"Check category"))</f>
        <v/>
      </c>
      <c r="G874" s="23" t="str">
        <f aca="false">IF(B874="","",MONTH(B874))</f>
        <v/>
      </c>
      <c r="H874" s="23" t="str">
        <f aca="false">IF(B874="","",YEAR(B874))</f>
        <v/>
      </c>
    </row>
    <row r="875" customFormat="false" ht="15" hidden="false" customHeight="false" outlineLevel="0" collapsed="false">
      <c r="B875" s="21"/>
      <c r="C875" s="16"/>
      <c r="D875" s="16"/>
      <c r="E875" s="17"/>
      <c r="F875" s="22" t="str">
        <f aca="false">IF(D875="","",IFERROR(INDEX(Setup!$C$8:$C$37,MATCH(D875,Setup!$B$8:$B$37,0)),"Check category"))</f>
        <v/>
      </c>
      <c r="G875" s="23" t="str">
        <f aca="false">IF(B875="","",MONTH(B875))</f>
        <v/>
      </c>
      <c r="H875" s="23" t="str">
        <f aca="false">IF(B875="","",YEAR(B875))</f>
        <v/>
      </c>
    </row>
    <row r="876" customFormat="false" ht="15" hidden="false" customHeight="false" outlineLevel="0" collapsed="false">
      <c r="B876" s="21"/>
      <c r="C876" s="16"/>
      <c r="D876" s="16"/>
      <c r="E876" s="17"/>
      <c r="F876" s="22" t="str">
        <f aca="false">IF(D876="","",IFERROR(INDEX(Setup!$C$8:$C$37,MATCH(D876,Setup!$B$8:$B$37,0)),"Check category"))</f>
        <v/>
      </c>
      <c r="G876" s="23" t="str">
        <f aca="false">IF(B876="","",MONTH(B876))</f>
        <v/>
      </c>
      <c r="H876" s="23" t="str">
        <f aca="false">IF(B876="","",YEAR(B876))</f>
        <v/>
      </c>
    </row>
    <row r="877" customFormat="false" ht="15" hidden="false" customHeight="false" outlineLevel="0" collapsed="false">
      <c r="B877" s="21"/>
      <c r="C877" s="16"/>
      <c r="D877" s="16"/>
      <c r="E877" s="17"/>
      <c r="F877" s="22" t="str">
        <f aca="false">IF(D877="","",IFERROR(INDEX(Setup!$C$8:$C$37,MATCH(D877,Setup!$B$8:$B$37,0)),"Check category"))</f>
        <v/>
      </c>
      <c r="G877" s="23" t="str">
        <f aca="false">IF(B877="","",MONTH(B877))</f>
        <v/>
      </c>
      <c r="H877" s="23" t="str">
        <f aca="false">IF(B877="","",YEAR(B877))</f>
        <v/>
      </c>
    </row>
    <row r="878" customFormat="false" ht="15" hidden="false" customHeight="false" outlineLevel="0" collapsed="false">
      <c r="B878" s="21"/>
      <c r="C878" s="16"/>
      <c r="D878" s="16"/>
      <c r="E878" s="17"/>
      <c r="F878" s="22" t="str">
        <f aca="false">IF(D878="","",IFERROR(INDEX(Setup!$C$8:$C$37,MATCH(D878,Setup!$B$8:$B$37,0)),"Check category"))</f>
        <v/>
      </c>
      <c r="G878" s="23" t="str">
        <f aca="false">IF(B878="","",MONTH(B878))</f>
        <v/>
      </c>
      <c r="H878" s="23" t="str">
        <f aca="false">IF(B878="","",YEAR(B878))</f>
        <v/>
      </c>
    </row>
    <row r="879" customFormat="false" ht="15" hidden="false" customHeight="false" outlineLevel="0" collapsed="false">
      <c r="B879" s="21"/>
      <c r="C879" s="16"/>
      <c r="D879" s="16"/>
      <c r="E879" s="17"/>
      <c r="F879" s="22" t="str">
        <f aca="false">IF(D879="","",IFERROR(INDEX(Setup!$C$8:$C$37,MATCH(D879,Setup!$B$8:$B$37,0)),"Check category"))</f>
        <v/>
      </c>
      <c r="G879" s="23" t="str">
        <f aca="false">IF(B879="","",MONTH(B879))</f>
        <v/>
      </c>
      <c r="H879" s="23" t="str">
        <f aca="false">IF(B879="","",YEAR(B879))</f>
        <v/>
      </c>
    </row>
    <row r="880" customFormat="false" ht="15" hidden="false" customHeight="false" outlineLevel="0" collapsed="false">
      <c r="B880" s="21"/>
      <c r="C880" s="16"/>
      <c r="D880" s="16"/>
      <c r="E880" s="17"/>
      <c r="F880" s="22" t="str">
        <f aca="false">IF(D880="","",IFERROR(INDEX(Setup!$C$8:$C$37,MATCH(D880,Setup!$B$8:$B$37,0)),"Check category"))</f>
        <v/>
      </c>
      <c r="G880" s="23" t="str">
        <f aca="false">IF(B880="","",MONTH(B880))</f>
        <v/>
      </c>
      <c r="H880" s="23" t="str">
        <f aca="false">IF(B880="","",YEAR(B880))</f>
        <v/>
      </c>
    </row>
    <row r="881" customFormat="false" ht="15" hidden="false" customHeight="false" outlineLevel="0" collapsed="false">
      <c r="B881" s="21"/>
      <c r="C881" s="16"/>
      <c r="D881" s="16"/>
      <c r="E881" s="17"/>
      <c r="F881" s="22" t="str">
        <f aca="false">IF(D881="","",IFERROR(INDEX(Setup!$C$8:$C$37,MATCH(D881,Setup!$B$8:$B$37,0)),"Check category"))</f>
        <v/>
      </c>
      <c r="G881" s="23" t="str">
        <f aca="false">IF(B881="","",MONTH(B881))</f>
        <v/>
      </c>
      <c r="H881" s="23" t="str">
        <f aca="false">IF(B881="","",YEAR(B881))</f>
        <v/>
      </c>
    </row>
    <row r="882" customFormat="false" ht="15" hidden="false" customHeight="false" outlineLevel="0" collapsed="false">
      <c r="B882" s="21"/>
      <c r="C882" s="16"/>
      <c r="D882" s="16"/>
      <c r="E882" s="17"/>
      <c r="F882" s="22" t="str">
        <f aca="false">IF(D882="","",IFERROR(INDEX(Setup!$C$8:$C$37,MATCH(D882,Setup!$B$8:$B$37,0)),"Check category"))</f>
        <v/>
      </c>
      <c r="G882" s="23" t="str">
        <f aca="false">IF(B882="","",MONTH(B882))</f>
        <v/>
      </c>
      <c r="H882" s="23" t="str">
        <f aca="false">IF(B882="","",YEAR(B882))</f>
        <v/>
      </c>
    </row>
    <row r="883" customFormat="false" ht="15" hidden="false" customHeight="false" outlineLevel="0" collapsed="false">
      <c r="B883" s="21"/>
      <c r="C883" s="16"/>
      <c r="D883" s="16"/>
      <c r="E883" s="17"/>
      <c r="F883" s="22" t="str">
        <f aca="false">IF(D883="","",IFERROR(INDEX(Setup!$C$8:$C$37,MATCH(D883,Setup!$B$8:$B$37,0)),"Check category"))</f>
        <v/>
      </c>
      <c r="G883" s="23" t="str">
        <f aca="false">IF(B883="","",MONTH(B883))</f>
        <v/>
      </c>
      <c r="H883" s="23" t="str">
        <f aca="false">IF(B883="","",YEAR(B883))</f>
        <v/>
      </c>
    </row>
    <row r="884" customFormat="false" ht="15" hidden="false" customHeight="false" outlineLevel="0" collapsed="false">
      <c r="B884" s="21"/>
      <c r="C884" s="16"/>
      <c r="D884" s="16"/>
      <c r="E884" s="17"/>
      <c r="F884" s="22" t="str">
        <f aca="false">IF(D884="","",IFERROR(INDEX(Setup!$C$8:$C$37,MATCH(D884,Setup!$B$8:$B$37,0)),"Check category"))</f>
        <v/>
      </c>
      <c r="G884" s="23" t="str">
        <f aca="false">IF(B884="","",MONTH(B884))</f>
        <v/>
      </c>
      <c r="H884" s="23" t="str">
        <f aca="false">IF(B884="","",YEAR(B884))</f>
        <v/>
      </c>
    </row>
    <row r="885" customFormat="false" ht="15" hidden="false" customHeight="false" outlineLevel="0" collapsed="false">
      <c r="B885" s="21"/>
      <c r="C885" s="16"/>
      <c r="D885" s="16"/>
      <c r="E885" s="17"/>
      <c r="F885" s="22" t="str">
        <f aca="false">IF(D885="","",IFERROR(INDEX(Setup!$C$8:$C$37,MATCH(D885,Setup!$B$8:$B$37,0)),"Check category"))</f>
        <v/>
      </c>
      <c r="G885" s="23" t="str">
        <f aca="false">IF(B885="","",MONTH(B885))</f>
        <v/>
      </c>
      <c r="H885" s="23" t="str">
        <f aca="false">IF(B885="","",YEAR(B885))</f>
        <v/>
      </c>
    </row>
    <row r="886" customFormat="false" ht="15" hidden="false" customHeight="false" outlineLevel="0" collapsed="false">
      <c r="B886" s="21"/>
      <c r="C886" s="16"/>
      <c r="D886" s="16"/>
      <c r="E886" s="17"/>
      <c r="F886" s="22" t="str">
        <f aca="false">IF(D886="","",IFERROR(INDEX(Setup!$C$8:$C$37,MATCH(D886,Setup!$B$8:$B$37,0)),"Check category"))</f>
        <v/>
      </c>
      <c r="G886" s="23" t="str">
        <f aca="false">IF(B886="","",MONTH(B886))</f>
        <v/>
      </c>
      <c r="H886" s="23" t="str">
        <f aca="false">IF(B886="","",YEAR(B886))</f>
        <v/>
      </c>
    </row>
    <row r="887" customFormat="false" ht="15" hidden="false" customHeight="false" outlineLevel="0" collapsed="false">
      <c r="B887" s="21"/>
      <c r="C887" s="16"/>
      <c r="D887" s="16"/>
      <c r="E887" s="17"/>
      <c r="F887" s="22" t="str">
        <f aca="false">IF(D887="","",IFERROR(INDEX(Setup!$C$8:$C$37,MATCH(D887,Setup!$B$8:$B$37,0)),"Check category"))</f>
        <v/>
      </c>
      <c r="G887" s="23" t="str">
        <f aca="false">IF(B887="","",MONTH(B887))</f>
        <v/>
      </c>
      <c r="H887" s="23" t="str">
        <f aca="false">IF(B887="","",YEAR(B887))</f>
        <v/>
      </c>
    </row>
    <row r="888" customFormat="false" ht="15" hidden="false" customHeight="false" outlineLevel="0" collapsed="false">
      <c r="B888" s="21"/>
      <c r="C888" s="16"/>
      <c r="D888" s="16"/>
      <c r="E888" s="17"/>
      <c r="F888" s="22" t="str">
        <f aca="false">IF(D888="","",IFERROR(INDEX(Setup!$C$8:$C$37,MATCH(D888,Setup!$B$8:$B$37,0)),"Check category"))</f>
        <v/>
      </c>
      <c r="G888" s="23" t="str">
        <f aca="false">IF(B888="","",MONTH(B888))</f>
        <v/>
      </c>
      <c r="H888" s="23" t="str">
        <f aca="false">IF(B888="","",YEAR(B888))</f>
        <v/>
      </c>
    </row>
    <row r="889" customFormat="false" ht="15" hidden="false" customHeight="false" outlineLevel="0" collapsed="false">
      <c r="B889" s="21"/>
      <c r="C889" s="16"/>
      <c r="D889" s="16"/>
      <c r="E889" s="17"/>
      <c r="F889" s="22" t="str">
        <f aca="false">IF(D889="","",IFERROR(INDEX(Setup!$C$8:$C$37,MATCH(D889,Setup!$B$8:$B$37,0)),"Check category"))</f>
        <v/>
      </c>
      <c r="G889" s="23" t="str">
        <f aca="false">IF(B889="","",MONTH(B889))</f>
        <v/>
      </c>
      <c r="H889" s="23" t="str">
        <f aca="false">IF(B889="","",YEAR(B889))</f>
        <v/>
      </c>
    </row>
    <row r="890" customFormat="false" ht="15" hidden="false" customHeight="false" outlineLevel="0" collapsed="false">
      <c r="B890" s="21"/>
      <c r="C890" s="16"/>
      <c r="D890" s="16"/>
      <c r="E890" s="17"/>
      <c r="F890" s="22" t="str">
        <f aca="false">IF(D890="","",IFERROR(INDEX(Setup!$C$8:$C$37,MATCH(D890,Setup!$B$8:$B$37,0)),"Check category"))</f>
        <v/>
      </c>
      <c r="G890" s="23" t="str">
        <f aca="false">IF(B890="","",MONTH(B890))</f>
        <v/>
      </c>
      <c r="H890" s="23" t="str">
        <f aca="false">IF(B890="","",YEAR(B890))</f>
        <v/>
      </c>
    </row>
    <row r="891" customFormat="false" ht="15" hidden="false" customHeight="false" outlineLevel="0" collapsed="false">
      <c r="B891" s="21"/>
      <c r="C891" s="16"/>
      <c r="D891" s="16"/>
      <c r="E891" s="17"/>
      <c r="F891" s="22" t="str">
        <f aca="false">IF(D891="","",IFERROR(INDEX(Setup!$C$8:$C$37,MATCH(D891,Setup!$B$8:$B$37,0)),"Check category"))</f>
        <v/>
      </c>
      <c r="G891" s="23" t="str">
        <f aca="false">IF(B891="","",MONTH(B891))</f>
        <v/>
      </c>
      <c r="H891" s="23" t="str">
        <f aca="false">IF(B891="","",YEAR(B891))</f>
        <v/>
      </c>
    </row>
    <row r="892" customFormat="false" ht="15" hidden="false" customHeight="false" outlineLevel="0" collapsed="false">
      <c r="B892" s="21"/>
      <c r="C892" s="16"/>
      <c r="D892" s="16"/>
      <c r="E892" s="17"/>
      <c r="F892" s="22" t="str">
        <f aca="false">IF(D892="","",IFERROR(INDEX(Setup!$C$8:$C$37,MATCH(D892,Setup!$B$8:$B$37,0)),"Check category"))</f>
        <v/>
      </c>
      <c r="G892" s="23" t="str">
        <f aca="false">IF(B892="","",MONTH(B892))</f>
        <v/>
      </c>
      <c r="H892" s="23" t="str">
        <f aca="false">IF(B892="","",YEAR(B892))</f>
        <v/>
      </c>
    </row>
    <row r="893" customFormat="false" ht="15" hidden="false" customHeight="false" outlineLevel="0" collapsed="false">
      <c r="B893" s="21"/>
      <c r="C893" s="16"/>
      <c r="D893" s="16"/>
      <c r="E893" s="17"/>
      <c r="F893" s="22" t="str">
        <f aca="false">IF(D893="","",IFERROR(INDEX(Setup!$C$8:$C$37,MATCH(D893,Setup!$B$8:$B$37,0)),"Check category"))</f>
        <v/>
      </c>
      <c r="G893" s="23" t="str">
        <f aca="false">IF(B893="","",MONTH(B893))</f>
        <v/>
      </c>
      <c r="H893" s="23" t="str">
        <f aca="false">IF(B893="","",YEAR(B893))</f>
        <v/>
      </c>
    </row>
    <row r="894" customFormat="false" ht="15" hidden="false" customHeight="false" outlineLevel="0" collapsed="false">
      <c r="B894" s="21"/>
      <c r="C894" s="16"/>
      <c r="D894" s="16"/>
      <c r="E894" s="17"/>
      <c r="F894" s="22" t="str">
        <f aca="false">IF(D894="","",IFERROR(INDEX(Setup!$C$8:$C$37,MATCH(D894,Setup!$B$8:$B$37,0)),"Check category"))</f>
        <v/>
      </c>
      <c r="G894" s="23" t="str">
        <f aca="false">IF(B894="","",MONTH(B894))</f>
        <v/>
      </c>
      <c r="H894" s="23" t="str">
        <f aca="false">IF(B894="","",YEAR(B894))</f>
        <v/>
      </c>
    </row>
    <row r="895" customFormat="false" ht="15" hidden="false" customHeight="false" outlineLevel="0" collapsed="false">
      <c r="B895" s="21"/>
      <c r="C895" s="16"/>
      <c r="D895" s="16"/>
      <c r="E895" s="17"/>
      <c r="F895" s="22" t="str">
        <f aca="false">IF(D895="","",IFERROR(INDEX(Setup!$C$8:$C$37,MATCH(D895,Setup!$B$8:$B$37,0)),"Check category"))</f>
        <v/>
      </c>
      <c r="G895" s="23" t="str">
        <f aca="false">IF(B895="","",MONTH(B895))</f>
        <v/>
      </c>
      <c r="H895" s="23" t="str">
        <f aca="false">IF(B895="","",YEAR(B895))</f>
        <v/>
      </c>
    </row>
    <row r="896" customFormat="false" ht="15" hidden="false" customHeight="false" outlineLevel="0" collapsed="false">
      <c r="B896" s="21"/>
      <c r="C896" s="16"/>
      <c r="D896" s="16"/>
      <c r="E896" s="17"/>
      <c r="F896" s="22" t="str">
        <f aca="false">IF(D896="","",IFERROR(INDEX(Setup!$C$8:$C$37,MATCH(D896,Setup!$B$8:$B$37,0)),"Check category"))</f>
        <v/>
      </c>
      <c r="G896" s="23" t="str">
        <f aca="false">IF(B896="","",MONTH(B896))</f>
        <v/>
      </c>
      <c r="H896" s="23" t="str">
        <f aca="false">IF(B896="","",YEAR(B896))</f>
        <v/>
      </c>
    </row>
    <row r="897" customFormat="false" ht="15" hidden="false" customHeight="false" outlineLevel="0" collapsed="false">
      <c r="B897" s="21"/>
      <c r="C897" s="16"/>
      <c r="D897" s="16"/>
      <c r="E897" s="17"/>
      <c r="F897" s="22" t="str">
        <f aca="false">IF(D897="","",IFERROR(INDEX(Setup!$C$8:$C$37,MATCH(D897,Setup!$B$8:$B$37,0)),"Check category"))</f>
        <v/>
      </c>
      <c r="G897" s="23" t="str">
        <f aca="false">IF(B897="","",MONTH(B897))</f>
        <v/>
      </c>
      <c r="H897" s="23" t="str">
        <f aca="false">IF(B897="","",YEAR(B897))</f>
        <v/>
      </c>
    </row>
    <row r="898" customFormat="false" ht="15" hidden="false" customHeight="false" outlineLevel="0" collapsed="false">
      <c r="B898" s="21"/>
      <c r="C898" s="16"/>
      <c r="D898" s="16"/>
      <c r="E898" s="17"/>
      <c r="F898" s="22" t="str">
        <f aca="false">IF(D898="","",IFERROR(INDEX(Setup!$C$8:$C$37,MATCH(D898,Setup!$B$8:$B$37,0)),"Check category"))</f>
        <v/>
      </c>
      <c r="G898" s="23" t="str">
        <f aca="false">IF(B898="","",MONTH(B898))</f>
        <v/>
      </c>
      <c r="H898" s="23" t="str">
        <f aca="false">IF(B898="","",YEAR(B898))</f>
        <v/>
      </c>
    </row>
    <row r="899" customFormat="false" ht="15" hidden="false" customHeight="false" outlineLevel="0" collapsed="false">
      <c r="B899" s="21"/>
      <c r="C899" s="16"/>
      <c r="D899" s="16"/>
      <c r="E899" s="17"/>
      <c r="F899" s="22" t="str">
        <f aca="false">IF(D899="","",IFERROR(INDEX(Setup!$C$8:$C$37,MATCH(D899,Setup!$B$8:$B$37,0)),"Check category"))</f>
        <v/>
      </c>
      <c r="G899" s="23" t="str">
        <f aca="false">IF(B899="","",MONTH(B899))</f>
        <v/>
      </c>
      <c r="H899" s="23" t="str">
        <f aca="false">IF(B899="","",YEAR(B899))</f>
        <v/>
      </c>
    </row>
    <row r="900" customFormat="false" ht="15" hidden="false" customHeight="false" outlineLevel="0" collapsed="false">
      <c r="B900" s="21"/>
      <c r="C900" s="16"/>
      <c r="D900" s="16"/>
      <c r="E900" s="17"/>
      <c r="F900" s="22" t="str">
        <f aca="false">IF(D900="","",IFERROR(INDEX(Setup!$C$8:$C$37,MATCH(D900,Setup!$B$8:$B$37,0)),"Check category"))</f>
        <v/>
      </c>
      <c r="G900" s="23" t="str">
        <f aca="false">IF(B900="","",MONTH(B900))</f>
        <v/>
      </c>
      <c r="H900" s="23" t="str">
        <f aca="false">IF(B900="","",YEAR(B900))</f>
        <v/>
      </c>
    </row>
    <row r="901" customFormat="false" ht="15" hidden="false" customHeight="false" outlineLevel="0" collapsed="false">
      <c r="B901" s="21"/>
      <c r="C901" s="16"/>
      <c r="D901" s="16"/>
      <c r="E901" s="17"/>
      <c r="F901" s="22" t="str">
        <f aca="false">IF(D901="","",IFERROR(INDEX(Setup!$C$8:$C$37,MATCH(D901,Setup!$B$8:$B$37,0)),"Check category"))</f>
        <v/>
      </c>
      <c r="G901" s="23" t="str">
        <f aca="false">IF(B901="","",MONTH(B901))</f>
        <v/>
      </c>
      <c r="H901" s="23" t="str">
        <f aca="false">IF(B901="","",YEAR(B901))</f>
        <v/>
      </c>
    </row>
    <row r="902" customFormat="false" ht="15" hidden="false" customHeight="false" outlineLevel="0" collapsed="false">
      <c r="B902" s="21"/>
      <c r="C902" s="16"/>
      <c r="D902" s="16"/>
      <c r="E902" s="17"/>
      <c r="F902" s="22" t="str">
        <f aca="false">IF(D902="","",IFERROR(INDEX(Setup!$C$8:$C$37,MATCH(D902,Setup!$B$8:$B$37,0)),"Check category"))</f>
        <v/>
      </c>
      <c r="G902" s="23" t="str">
        <f aca="false">IF(B902="","",MONTH(B902))</f>
        <v/>
      </c>
      <c r="H902" s="23" t="str">
        <f aca="false">IF(B902="","",YEAR(B902))</f>
        <v/>
      </c>
    </row>
    <row r="903" customFormat="false" ht="15" hidden="false" customHeight="false" outlineLevel="0" collapsed="false">
      <c r="B903" s="21"/>
      <c r="C903" s="16"/>
      <c r="D903" s="16"/>
      <c r="E903" s="17"/>
      <c r="F903" s="22" t="str">
        <f aca="false">IF(D903="","",IFERROR(INDEX(Setup!$C$8:$C$37,MATCH(D903,Setup!$B$8:$B$37,0)),"Check category"))</f>
        <v/>
      </c>
      <c r="G903" s="23" t="str">
        <f aca="false">IF(B903="","",MONTH(B903))</f>
        <v/>
      </c>
      <c r="H903" s="23" t="str">
        <f aca="false">IF(B903="","",YEAR(B903))</f>
        <v/>
      </c>
    </row>
    <row r="904" customFormat="false" ht="15" hidden="false" customHeight="false" outlineLevel="0" collapsed="false">
      <c r="B904" s="21"/>
      <c r="C904" s="16"/>
      <c r="D904" s="16"/>
      <c r="E904" s="17"/>
      <c r="F904" s="22" t="str">
        <f aca="false">IF(D904="","",IFERROR(INDEX(Setup!$C$8:$C$37,MATCH(D904,Setup!$B$8:$B$37,0)),"Check category"))</f>
        <v/>
      </c>
      <c r="G904" s="23" t="str">
        <f aca="false">IF(B904="","",MONTH(B904))</f>
        <v/>
      </c>
      <c r="H904" s="23" t="str">
        <f aca="false">IF(B904="","",YEAR(B904))</f>
        <v/>
      </c>
    </row>
    <row r="905" customFormat="false" ht="15" hidden="false" customHeight="false" outlineLevel="0" collapsed="false">
      <c r="B905" s="21"/>
      <c r="C905" s="16"/>
      <c r="D905" s="16"/>
      <c r="E905" s="17"/>
      <c r="F905" s="22" t="str">
        <f aca="false">IF(D905="","",IFERROR(INDEX(Setup!$C$8:$C$37,MATCH(D905,Setup!$B$8:$B$37,0)),"Check category"))</f>
        <v/>
      </c>
      <c r="G905" s="23" t="str">
        <f aca="false">IF(B905="","",MONTH(B905))</f>
        <v/>
      </c>
      <c r="H905" s="23" t="str">
        <f aca="false">IF(B905="","",YEAR(B905))</f>
        <v/>
      </c>
    </row>
    <row r="906" customFormat="false" ht="15" hidden="false" customHeight="false" outlineLevel="0" collapsed="false">
      <c r="B906" s="21"/>
      <c r="C906" s="16"/>
      <c r="D906" s="16"/>
      <c r="E906" s="17"/>
      <c r="F906" s="22" t="str">
        <f aca="false">IF(D906="","",IFERROR(INDEX(Setup!$C$8:$C$37,MATCH(D906,Setup!$B$8:$B$37,0)),"Check category"))</f>
        <v/>
      </c>
      <c r="G906" s="23" t="str">
        <f aca="false">IF(B906="","",MONTH(B906))</f>
        <v/>
      </c>
      <c r="H906" s="23" t="str">
        <f aca="false">IF(B906="","",YEAR(B906))</f>
        <v/>
      </c>
    </row>
    <row r="907" customFormat="false" ht="15" hidden="false" customHeight="false" outlineLevel="0" collapsed="false">
      <c r="B907" s="21"/>
      <c r="C907" s="16"/>
      <c r="D907" s="16"/>
      <c r="E907" s="17"/>
      <c r="F907" s="22" t="str">
        <f aca="false">IF(D907="","",IFERROR(INDEX(Setup!$C$8:$C$37,MATCH(D907,Setup!$B$8:$B$37,0)),"Check category"))</f>
        <v/>
      </c>
      <c r="G907" s="23" t="str">
        <f aca="false">IF(B907="","",MONTH(B907))</f>
        <v/>
      </c>
      <c r="H907" s="23" t="str">
        <f aca="false">IF(B907="","",YEAR(B907))</f>
        <v/>
      </c>
    </row>
    <row r="908" customFormat="false" ht="15" hidden="false" customHeight="false" outlineLevel="0" collapsed="false">
      <c r="B908" s="21"/>
      <c r="C908" s="16"/>
      <c r="D908" s="16"/>
      <c r="E908" s="17"/>
      <c r="F908" s="22" t="str">
        <f aca="false">IF(D908="","",IFERROR(INDEX(Setup!$C$8:$C$37,MATCH(D908,Setup!$B$8:$B$37,0)),"Check category"))</f>
        <v/>
      </c>
      <c r="G908" s="23" t="str">
        <f aca="false">IF(B908="","",MONTH(B908))</f>
        <v/>
      </c>
      <c r="H908" s="23" t="str">
        <f aca="false">IF(B908="","",YEAR(B908))</f>
        <v/>
      </c>
    </row>
    <row r="909" customFormat="false" ht="15" hidden="false" customHeight="false" outlineLevel="0" collapsed="false">
      <c r="B909" s="21"/>
      <c r="C909" s="16"/>
      <c r="D909" s="16"/>
      <c r="E909" s="17"/>
      <c r="F909" s="22" t="str">
        <f aca="false">IF(D909="","",IFERROR(INDEX(Setup!$C$8:$C$37,MATCH(D909,Setup!$B$8:$B$37,0)),"Check category"))</f>
        <v/>
      </c>
      <c r="G909" s="23" t="str">
        <f aca="false">IF(B909="","",MONTH(B909))</f>
        <v/>
      </c>
      <c r="H909" s="23" t="str">
        <f aca="false">IF(B909="","",YEAR(B909))</f>
        <v/>
      </c>
    </row>
    <row r="910" customFormat="false" ht="15" hidden="false" customHeight="false" outlineLevel="0" collapsed="false">
      <c r="B910" s="21"/>
      <c r="C910" s="16"/>
      <c r="D910" s="16"/>
      <c r="E910" s="17"/>
      <c r="F910" s="22" t="str">
        <f aca="false">IF(D910="","",IFERROR(INDEX(Setup!$C$8:$C$37,MATCH(D910,Setup!$B$8:$B$37,0)),"Check category"))</f>
        <v/>
      </c>
      <c r="G910" s="23" t="str">
        <f aca="false">IF(B910="","",MONTH(B910))</f>
        <v/>
      </c>
      <c r="H910" s="23" t="str">
        <f aca="false">IF(B910="","",YEAR(B910))</f>
        <v/>
      </c>
    </row>
    <row r="911" customFormat="false" ht="15" hidden="false" customHeight="false" outlineLevel="0" collapsed="false">
      <c r="B911" s="21"/>
      <c r="C911" s="16"/>
      <c r="D911" s="16"/>
      <c r="E911" s="17"/>
      <c r="F911" s="22" t="str">
        <f aca="false">IF(D911="","",IFERROR(INDEX(Setup!$C$8:$C$37,MATCH(D911,Setup!$B$8:$B$37,0)),"Check category"))</f>
        <v/>
      </c>
      <c r="G911" s="23" t="str">
        <f aca="false">IF(B911="","",MONTH(B911))</f>
        <v/>
      </c>
      <c r="H911" s="23" t="str">
        <f aca="false">IF(B911="","",YEAR(B911))</f>
        <v/>
      </c>
    </row>
    <row r="912" customFormat="false" ht="15" hidden="false" customHeight="false" outlineLevel="0" collapsed="false">
      <c r="B912" s="21"/>
      <c r="C912" s="16"/>
      <c r="D912" s="16"/>
      <c r="E912" s="17"/>
      <c r="F912" s="22" t="str">
        <f aca="false">IF(D912="","",IFERROR(INDEX(Setup!$C$8:$C$37,MATCH(D912,Setup!$B$8:$B$37,0)),"Check category"))</f>
        <v/>
      </c>
      <c r="G912" s="23" t="str">
        <f aca="false">IF(B912="","",MONTH(B912))</f>
        <v/>
      </c>
      <c r="H912" s="23" t="str">
        <f aca="false">IF(B912="","",YEAR(B912))</f>
        <v/>
      </c>
    </row>
    <row r="913" customFormat="false" ht="15" hidden="false" customHeight="false" outlineLevel="0" collapsed="false">
      <c r="B913" s="21"/>
      <c r="C913" s="16"/>
      <c r="D913" s="16"/>
      <c r="E913" s="17"/>
      <c r="F913" s="22" t="str">
        <f aca="false">IF(D913="","",IFERROR(INDEX(Setup!$C$8:$C$37,MATCH(D913,Setup!$B$8:$B$37,0)),"Check category"))</f>
        <v/>
      </c>
      <c r="G913" s="23" t="str">
        <f aca="false">IF(B913="","",MONTH(B913))</f>
        <v/>
      </c>
      <c r="H913" s="23" t="str">
        <f aca="false">IF(B913="","",YEAR(B913))</f>
        <v/>
      </c>
    </row>
    <row r="914" customFormat="false" ht="15" hidden="false" customHeight="false" outlineLevel="0" collapsed="false">
      <c r="B914" s="21"/>
      <c r="C914" s="16"/>
      <c r="D914" s="16"/>
      <c r="E914" s="17"/>
      <c r="F914" s="22" t="str">
        <f aca="false">IF(D914="","",IFERROR(INDEX(Setup!$C$8:$C$37,MATCH(D914,Setup!$B$8:$B$37,0)),"Check category"))</f>
        <v/>
      </c>
      <c r="G914" s="23" t="str">
        <f aca="false">IF(B914="","",MONTH(B914))</f>
        <v/>
      </c>
      <c r="H914" s="23" t="str">
        <f aca="false">IF(B914="","",YEAR(B914))</f>
        <v/>
      </c>
    </row>
    <row r="915" customFormat="false" ht="15" hidden="false" customHeight="false" outlineLevel="0" collapsed="false">
      <c r="B915" s="21"/>
      <c r="C915" s="16"/>
      <c r="D915" s="16"/>
      <c r="E915" s="17"/>
      <c r="F915" s="22" t="str">
        <f aca="false">IF(D915="","",IFERROR(INDEX(Setup!$C$8:$C$37,MATCH(D915,Setup!$B$8:$B$37,0)),"Check category"))</f>
        <v/>
      </c>
      <c r="G915" s="23" t="str">
        <f aca="false">IF(B915="","",MONTH(B915))</f>
        <v/>
      </c>
      <c r="H915" s="23" t="str">
        <f aca="false">IF(B915="","",YEAR(B915))</f>
        <v/>
      </c>
    </row>
    <row r="916" customFormat="false" ht="15" hidden="false" customHeight="false" outlineLevel="0" collapsed="false">
      <c r="B916" s="21"/>
      <c r="C916" s="16"/>
      <c r="D916" s="16"/>
      <c r="E916" s="17"/>
      <c r="F916" s="22" t="str">
        <f aca="false">IF(D916="","",IFERROR(INDEX(Setup!$C$8:$C$37,MATCH(D916,Setup!$B$8:$B$37,0)),"Check category"))</f>
        <v/>
      </c>
      <c r="G916" s="23" t="str">
        <f aca="false">IF(B916="","",MONTH(B916))</f>
        <v/>
      </c>
      <c r="H916" s="23" t="str">
        <f aca="false">IF(B916="","",YEAR(B916))</f>
        <v/>
      </c>
    </row>
    <row r="917" customFormat="false" ht="15" hidden="false" customHeight="false" outlineLevel="0" collapsed="false">
      <c r="B917" s="21"/>
      <c r="C917" s="16"/>
      <c r="D917" s="16"/>
      <c r="E917" s="17"/>
      <c r="F917" s="22" t="str">
        <f aca="false">IF(D917="","",IFERROR(INDEX(Setup!$C$8:$C$37,MATCH(D917,Setup!$B$8:$B$37,0)),"Check category"))</f>
        <v/>
      </c>
      <c r="G917" s="23" t="str">
        <f aca="false">IF(B917="","",MONTH(B917))</f>
        <v/>
      </c>
      <c r="H917" s="23" t="str">
        <f aca="false">IF(B917="","",YEAR(B917))</f>
        <v/>
      </c>
    </row>
    <row r="918" customFormat="false" ht="15" hidden="false" customHeight="false" outlineLevel="0" collapsed="false">
      <c r="B918" s="21"/>
      <c r="C918" s="16"/>
      <c r="D918" s="16"/>
      <c r="E918" s="17"/>
      <c r="F918" s="22" t="str">
        <f aca="false">IF(D918="","",IFERROR(INDEX(Setup!$C$8:$C$37,MATCH(D918,Setup!$B$8:$B$37,0)),"Check category"))</f>
        <v/>
      </c>
      <c r="G918" s="23" t="str">
        <f aca="false">IF(B918="","",MONTH(B918))</f>
        <v/>
      </c>
      <c r="H918" s="23" t="str">
        <f aca="false">IF(B918="","",YEAR(B918))</f>
        <v/>
      </c>
    </row>
    <row r="919" customFormat="false" ht="15" hidden="false" customHeight="false" outlineLevel="0" collapsed="false">
      <c r="B919" s="21"/>
      <c r="C919" s="16"/>
      <c r="D919" s="16"/>
      <c r="E919" s="17"/>
      <c r="F919" s="22" t="str">
        <f aca="false">IF(D919="","",IFERROR(INDEX(Setup!$C$8:$C$37,MATCH(D919,Setup!$B$8:$B$37,0)),"Check category"))</f>
        <v/>
      </c>
      <c r="G919" s="23" t="str">
        <f aca="false">IF(B919="","",MONTH(B919))</f>
        <v/>
      </c>
      <c r="H919" s="23" t="str">
        <f aca="false">IF(B919="","",YEAR(B919))</f>
        <v/>
      </c>
    </row>
    <row r="920" customFormat="false" ht="15" hidden="false" customHeight="false" outlineLevel="0" collapsed="false">
      <c r="B920" s="21"/>
      <c r="C920" s="16"/>
      <c r="D920" s="16"/>
      <c r="E920" s="17"/>
      <c r="F920" s="22" t="str">
        <f aca="false">IF(D920="","",IFERROR(INDEX(Setup!$C$8:$C$37,MATCH(D920,Setup!$B$8:$B$37,0)),"Check category"))</f>
        <v/>
      </c>
      <c r="G920" s="23" t="str">
        <f aca="false">IF(B920="","",MONTH(B920))</f>
        <v/>
      </c>
      <c r="H920" s="23" t="str">
        <f aca="false">IF(B920="","",YEAR(B920))</f>
        <v/>
      </c>
    </row>
    <row r="921" customFormat="false" ht="15" hidden="false" customHeight="false" outlineLevel="0" collapsed="false">
      <c r="B921" s="21"/>
      <c r="C921" s="16"/>
      <c r="D921" s="16"/>
      <c r="E921" s="17"/>
      <c r="F921" s="22" t="str">
        <f aca="false">IF(D921="","",IFERROR(INDEX(Setup!$C$8:$C$37,MATCH(D921,Setup!$B$8:$B$37,0)),"Check category"))</f>
        <v/>
      </c>
      <c r="G921" s="23" t="str">
        <f aca="false">IF(B921="","",MONTH(B921))</f>
        <v/>
      </c>
      <c r="H921" s="23" t="str">
        <f aca="false">IF(B921="","",YEAR(B921))</f>
        <v/>
      </c>
    </row>
    <row r="922" customFormat="false" ht="15" hidden="false" customHeight="false" outlineLevel="0" collapsed="false">
      <c r="B922" s="21"/>
      <c r="C922" s="16"/>
      <c r="D922" s="16"/>
      <c r="E922" s="17"/>
      <c r="F922" s="22" t="str">
        <f aca="false">IF(D922="","",IFERROR(INDEX(Setup!$C$8:$C$37,MATCH(D922,Setup!$B$8:$B$37,0)),"Check category"))</f>
        <v/>
      </c>
      <c r="G922" s="23" t="str">
        <f aca="false">IF(B922="","",MONTH(B922))</f>
        <v/>
      </c>
      <c r="H922" s="23" t="str">
        <f aca="false">IF(B922="","",YEAR(B922))</f>
        <v/>
      </c>
    </row>
    <row r="923" customFormat="false" ht="15" hidden="false" customHeight="false" outlineLevel="0" collapsed="false">
      <c r="B923" s="21"/>
      <c r="C923" s="16"/>
      <c r="D923" s="16"/>
      <c r="E923" s="17"/>
      <c r="F923" s="22" t="str">
        <f aca="false">IF(D923="","",IFERROR(INDEX(Setup!$C$8:$C$37,MATCH(D923,Setup!$B$8:$B$37,0)),"Check category"))</f>
        <v/>
      </c>
      <c r="G923" s="23" t="str">
        <f aca="false">IF(B923="","",MONTH(B923))</f>
        <v/>
      </c>
      <c r="H923" s="23" t="str">
        <f aca="false">IF(B923="","",YEAR(B923))</f>
        <v/>
      </c>
    </row>
    <row r="924" customFormat="false" ht="15" hidden="false" customHeight="false" outlineLevel="0" collapsed="false">
      <c r="B924" s="21"/>
      <c r="C924" s="16"/>
      <c r="D924" s="16"/>
      <c r="E924" s="17"/>
      <c r="F924" s="22" t="str">
        <f aca="false">IF(D924="","",IFERROR(INDEX(Setup!$C$8:$C$37,MATCH(D924,Setup!$B$8:$B$37,0)),"Check category"))</f>
        <v/>
      </c>
      <c r="G924" s="23" t="str">
        <f aca="false">IF(B924="","",MONTH(B924))</f>
        <v/>
      </c>
      <c r="H924" s="23" t="str">
        <f aca="false">IF(B924="","",YEAR(B924))</f>
        <v/>
      </c>
    </row>
    <row r="925" customFormat="false" ht="15" hidden="false" customHeight="false" outlineLevel="0" collapsed="false">
      <c r="B925" s="21"/>
      <c r="C925" s="16"/>
      <c r="D925" s="16"/>
      <c r="E925" s="17"/>
      <c r="F925" s="22" t="str">
        <f aca="false">IF(D925="","",IFERROR(INDEX(Setup!$C$8:$C$37,MATCH(D925,Setup!$B$8:$B$37,0)),"Check category"))</f>
        <v/>
      </c>
      <c r="G925" s="23" t="str">
        <f aca="false">IF(B925="","",MONTH(B925))</f>
        <v/>
      </c>
      <c r="H925" s="23" t="str">
        <f aca="false">IF(B925="","",YEAR(B925))</f>
        <v/>
      </c>
    </row>
    <row r="926" customFormat="false" ht="15" hidden="false" customHeight="false" outlineLevel="0" collapsed="false">
      <c r="B926" s="21"/>
      <c r="C926" s="16"/>
      <c r="D926" s="16"/>
      <c r="E926" s="17"/>
      <c r="F926" s="22" t="str">
        <f aca="false">IF(D926="","",IFERROR(INDEX(Setup!$C$8:$C$37,MATCH(D926,Setup!$B$8:$B$37,0)),"Check category"))</f>
        <v/>
      </c>
      <c r="G926" s="23" t="str">
        <f aca="false">IF(B926="","",MONTH(B926))</f>
        <v/>
      </c>
      <c r="H926" s="23" t="str">
        <f aca="false">IF(B926="","",YEAR(B926))</f>
        <v/>
      </c>
    </row>
    <row r="927" customFormat="false" ht="15" hidden="false" customHeight="false" outlineLevel="0" collapsed="false">
      <c r="B927" s="21"/>
      <c r="C927" s="16"/>
      <c r="D927" s="16"/>
      <c r="E927" s="17"/>
      <c r="F927" s="22" t="str">
        <f aca="false">IF(D927="","",IFERROR(INDEX(Setup!$C$8:$C$37,MATCH(D927,Setup!$B$8:$B$37,0)),"Check category"))</f>
        <v/>
      </c>
      <c r="G927" s="23" t="str">
        <f aca="false">IF(B927="","",MONTH(B927))</f>
        <v/>
      </c>
      <c r="H927" s="23" t="str">
        <f aca="false">IF(B927="","",YEAR(B927))</f>
        <v/>
      </c>
    </row>
    <row r="928" customFormat="false" ht="15" hidden="false" customHeight="false" outlineLevel="0" collapsed="false">
      <c r="B928" s="21"/>
      <c r="C928" s="16"/>
      <c r="D928" s="16"/>
      <c r="E928" s="17"/>
      <c r="F928" s="22" t="str">
        <f aca="false">IF(D928="","",IFERROR(INDEX(Setup!$C$8:$C$37,MATCH(D928,Setup!$B$8:$B$37,0)),"Check category"))</f>
        <v/>
      </c>
      <c r="G928" s="23" t="str">
        <f aca="false">IF(B928="","",MONTH(B928))</f>
        <v/>
      </c>
      <c r="H928" s="23" t="str">
        <f aca="false">IF(B928="","",YEAR(B928))</f>
        <v/>
      </c>
    </row>
    <row r="929" customFormat="false" ht="15" hidden="false" customHeight="false" outlineLevel="0" collapsed="false">
      <c r="B929" s="21"/>
      <c r="C929" s="16"/>
      <c r="D929" s="16"/>
      <c r="E929" s="17"/>
      <c r="F929" s="22" t="str">
        <f aca="false">IF(D929="","",IFERROR(INDEX(Setup!$C$8:$C$37,MATCH(D929,Setup!$B$8:$B$37,0)),"Check category"))</f>
        <v/>
      </c>
      <c r="G929" s="23" t="str">
        <f aca="false">IF(B929="","",MONTH(B929))</f>
        <v/>
      </c>
      <c r="H929" s="23" t="str">
        <f aca="false">IF(B929="","",YEAR(B929))</f>
        <v/>
      </c>
    </row>
    <row r="930" customFormat="false" ht="15" hidden="false" customHeight="false" outlineLevel="0" collapsed="false">
      <c r="B930" s="21"/>
      <c r="C930" s="16"/>
      <c r="D930" s="16"/>
      <c r="E930" s="17"/>
      <c r="F930" s="22" t="str">
        <f aca="false">IF(D930="","",IFERROR(INDEX(Setup!$C$8:$C$37,MATCH(D930,Setup!$B$8:$B$37,0)),"Check category"))</f>
        <v/>
      </c>
      <c r="G930" s="23" t="str">
        <f aca="false">IF(B930="","",MONTH(B930))</f>
        <v/>
      </c>
      <c r="H930" s="23" t="str">
        <f aca="false">IF(B930="","",YEAR(B930))</f>
        <v/>
      </c>
    </row>
    <row r="931" customFormat="false" ht="15" hidden="false" customHeight="false" outlineLevel="0" collapsed="false">
      <c r="B931" s="21"/>
      <c r="C931" s="16"/>
      <c r="D931" s="16"/>
      <c r="E931" s="17"/>
      <c r="F931" s="22" t="str">
        <f aca="false">IF(D931="","",IFERROR(INDEX(Setup!$C$8:$C$37,MATCH(D931,Setup!$B$8:$B$37,0)),"Check category"))</f>
        <v/>
      </c>
      <c r="G931" s="23" t="str">
        <f aca="false">IF(B931="","",MONTH(B931))</f>
        <v/>
      </c>
      <c r="H931" s="23" t="str">
        <f aca="false">IF(B931="","",YEAR(B931))</f>
        <v/>
      </c>
    </row>
    <row r="932" customFormat="false" ht="15" hidden="false" customHeight="false" outlineLevel="0" collapsed="false">
      <c r="B932" s="21"/>
      <c r="C932" s="16"/>
      <c r="D932" s="16"/>
      <c r="E932" s="17"/>
      <c r="F932" s="22" t="str">
        <f aca="false">IF(D932="","",IFERROR(INDEX(Setup!$C$8:$C$37,MATCH(D932,Setup!$B$8:$B$37,0)),"Check category"))</f>
        <v/>
      </c>
      <c r="G932" s="23" t="str">
        <f aca="false">IF(B932="","",MONTH(B932))</f>
        <v/>
      </c>
      <c r="H932" s="23" t="str">
        <f aca="false">IF(B932="","",YEAR(B932))</f>
        <v/>
      </c>
    </row>
    <row r="933" customFormat="false" ht="15" hidden="false" customHeight="false" outlineLevel="0" collapsed="false">
      <c r="B933" s="21"/>
      <c r="C933" s="16"/>
      <c r="D933" s="16"/>
      <c r="E933" s="17"/>
      <c r="F933" s="22" t="str">
        <f aca="false">IF(D933="","",IFERROR(INDEX(Setup!$C$8:$C$37,MATCH(D933,Setup!$B$8:$B$37,0)),"Check category"))</f>
        <v/>
      </c>
      <c r="G933" s="23" t="str">
        <f aca="false">IF(B933="","",MONTH(B933))</f>
        <v/>
      </c>
      <c r="H933" s="23" t="str">
        <f aca="false">IF(B933="","",YEAR(B933))</f>
        <v/>
      </c>
    </row>
    <row r="934" customFormat="false" ht="15" hidden="false" customHeight="false" outlineLevel="0" collapsed="false">
      <c r="B934" s="21"/>
      <c r="C934" s="16"/>
      <c r="D934" s="16"/>
      <c r="E934" s="17"/>
      <c r="F934" s="22" t="str">
        <f aca="false">IF(D934="","",IFERROR(INDEX(Setup!$C$8:$C$37,MATCH(D934,Setup!$B$8:$B$37,0)),"Check category"))</f>
        <v/>
      </c>
      <c r="G934" s="23" t="str">
        <f aca="false">IF(B934="","",MONTH(B934))</f>
        <v/>
      </c>
      <c r="H934" s="23" t="str">
        <f aca="false">IF(B934="","",YEAR(B934))</f>
        <v/>
      </c>
    </row>
    <row r="935" customFormat="false" ht="15" hidden="false" customHeight="false" outlineLevel="0" collapsed="false">
      <c r="B935" s="21"/>
      <c r="C935" s="16"/>
      <c r="D935" s="16"/>
      <c r="E935" s="17"/>
      <c r="F935" s="22" t="str">
        <f aca="false">IF(D935="","",IFERROR(INDEX(Setup!$C$8:$C$37,MATCH(D935,Setup!$B$8:$B$37,0)),"Check category"))</f>
        <v/>
      </c>
      <c r="G935" s="23" t="str">
        <f aca="false">IF(B935="","",MONTH(B935))</f>
        <v/>
      </c>
      <c r="H935" s="23" t="str">
        <f aca="false">IF(B935="","",YEAR(B935))</f>
        <v/>
      </c>
    </row>
    <row r="936" customFormat="false" ht="15" hidden="false" customHeight="false" outlineLevel="0" collapsed="false">
      <c r="B936" s="21"/>
      <c r="C936" s="16"/>
      <c r="D936" s="16"/>
      <c r="E936" s="17"/>
      <c r="F936" s="22" t="str">
        <f aca="false">IF(D936="","",IFERROR(INDEX(Setup!$C$8:$C$37,MATCH(D936,Setup!$B$8:$B$37,0)),"Check category"))</f>
        <v/>
      </c>
      <c r="G936" s="23" t="str">
        <f aca="false">IF(B936="","",MONTH(B936))</f>
        <v/>
      </c>
      <c r="H936" s="23" t="str">
        <f aca="false">IF(B936="","",YEAR(B936))</f>
        <v/>
      </c>
    </row>
    <row r="937" customFormat="false" ht="15" hidden="false" customHeight="false" outlineLevel="0" collapsed="false">
      <c r="B937" s="21"/>
      <c r="C937" s="16"/>
      <c r="D937" s="16"/>
      <c r="E937" s="17"/>
      <c r="F937" s="22" t="str">
        <f aca="false">IF(D937="","",IFERROR(INDEX(Setup!$C$8:$C$37,MATCH(D937,Setup!$B$8:$B$37,0)),"Check category"))</f>
        <v/>
      </c>
      <c r="G937" s="23" t="str">
        <f aca="false">IF(B937="","",MONTH(B937))</f>
        <v/>
      </c>
      <c r="H937" s="23" t="str">
        <f aca="false">IF(B937="","",YEAR(B937))</f>
        <v/>
      </c>
    </row>
    <row r="938" customFormat="false" ht="15" hidden="false" customHeight="false" outlineLevel="0" collapsed="false">
      <c r="B938" s="21"/>
      <c r="C938" s="16"/>
      <c r="D938" s="16"/>
      <c r="E938" s="17"/>
      <c r="F938" s="22" t="str">
        <f aca="false">IF(D938="","",IFERROR(INDEX(Setup!$C$8:$C$37,MATCH(D938,Setup!$B$8:$B$37,0)),"Check category"))</f>
        <v/>
      </c>
      <c r="G938" s="23" t="str">
        <f aca="false">IF(B938="","",MONTH(B938))</f>
        <v/>
      </c>
      <c r="H938" s="23" t="str">
        <f aca="false">IF(B938="","",YEAR(B938))</f>
        <v/>
      </c>
    </row>
    <row r="939" customFormat="false" ht="15" hidden="false" customHeight="false" outlineLevel="0" collapsed="false">
      <c r="B939" s="21"/>
      <c r="C939" s="16"/>
      <c r="D939" s="16"/>
      <c r="E939" s="17"/>
      <c r="F939" s="22" t="str">
        <f aca="false">IF(D939="","",IFERROR(INDEX(Setup!$C$8:$C$37,MATCH(D939,Setup!$B$8:$B$37,0)),"Check category"))</f>
        <v/>
      </c>
      <c r="G939" s="23" t="str">
        <f aca="false">IF(B939="","",MONTH(B939))</f>
        <v/>
      </c>
      <c r="H939" s="23" t="str">
        <f aca="false">IF(B939="","",YEAR(B939))</f>
        <v/>
      </c>
    </row>
    <row r="940" customFormat="false" ht="15" hidden="false" customHeight="false" outlineLevel="0" collapsed="false">
      <c r="B940" s="21"/>
      <c r="C940" s="16"/>
      <c r="D940" s="16"/>
      <c r="E940" s="17"/>
      <c r="F940" s="22" t="str">
        <f aca="false">IF(D940="","",IFERROR(INDEX(Setup!$C$8:$C$37,MATCH(D940,Setup!$B$8:$B$37,0)),"Check category"))</f>
        <v/>
      </c>
      <c r="G940" s="23" t="str">
        <f aca="false">IF(B940="","",MONTH(B940))</f>
        <v/>
      </c>
      <c r="H940" s="23" t="str">
        <f aca="false">IF(B940="","",YEAR(B940))</f>
        <v/>
      </c>
    </row>
    <row r="941" customFormat="false" ht="15" hidden="false" customHeight="false" outlineLevel="0" collapsed="false">
      <c r="B941" s="21"/>
      <c r="C941" s="16"/>
      <c r="D941" s="16"/>
      <c r="E941" s="17"/>
      <c r="F941" s="22" t="str">
        <f aca="false">IF(D941="","",IFERROR(INDEX(Setup!$C$8:$C$37,MATCH(D941,Setup!$B$8:$B$37,0)),"Check category"))</f>
        <v/>
      </c>
      <c r="G941" s="23" t="str">
        <f aca="false">IF(B941="","",MONTH(B941))</f>
        <v/>
      </c>
      <c r="H941" s="23" t="str">
        <f aca="false">IF(B941="","",YEAR(B941))</f>
        <v/>
      </c>
    </row>
    <row r="942" customFormat="false" ht="15" hidden="false" customHeight="false" outlineLevel="0" collapsed="false">
      <c r="B942" s="21"/>
      <c r="C942" s="16"/>
      <c r="D942" s="16"/>
      <c r="E942" s="17"/>
      <c r="F942" s="22" t="str">
        <f aca="false">IF(D942="","",IFERROR(INDEX(Setup!$C$8:$C$37,MATCH(D942,Setup!$B$8:$B$37,0)),"Check category"))</f>
        <v/>
      </c>
      <c r="G942" s="23" t="str">
        <f aca="false">IF(B942="","",MONTH(B942))</f>
        <v/>
      </c>
      <c r="H942" s="23" t="str">
        <f aca="false">IF(B942="","",YEAR(B942))</f>
        <v/>
      </c>
    </row>
    <row r="943" customFormat="false" ht="15" hidden="false" customHeight="false" outlineLevel="0" collapsed="false">
      <c r="B943" s="21"/>
      <c r="C943" s="16"/>
      <c r="D943" s="16"/>
      <c r="E943" s="17"/>
      <c r="F943" s="22" t="str">
        <f aca="false">IF(D943="","",IFERROR(INDEX(Setup!$C$8:$C$37,MATCH(D943,Setup!$B$8:$B$37,0)),"Check category"))</f>
        <v/>
      </c>
      <c r="G943" s="23" t="str">
        <f aca="false">IF(B943="","",MONTH(B943))</f>
        <v/>
      </c>
      <c r="H943" s="23" t="str">
        <f aca="false">IF(B943="","",YEAR(B943))</f>
        <v/>
      </c>
    </row>
    <row r="944" customFormat="false" ht="15" hidden="false" customHeight="false" outlineLevel="0" collapsed="false">
      <c r="B944" s="21"/>
      <c r="C944" s="16"/>
      <c r="D944" s="16"/>
      <c r="E944" s="17"/>
      <c r="F944" s="22" t="str">
        <f aca="false">IF(D944="","",IFERROR(INDEX(Setup!$C$8:$C$37,MATCH(D944,Setup!$B$8:$B$37,0)),"Check category"))</f>
        <v/>
      </c>
      <c r="G944" s="23" t="str">
        <f aca="false">IF(B944="","",MONTH(B944))</f>
        <v/>
      </c>
      <c r="H944" s="23" t="str">
        <f aca="false">IF(B944="","",YEAR(B944))</f>
        <v/>
      </c>
    </row>
    <row r="945" customFormat="false" ht="15" hidden="false" customHeight="false" outlineLevel="0" collapsed="false">
      <c r="B945" s="21"/>
      <c r="C945" s="16"/>
      <c r="D945" s="16"/>
      <c r="E945" s="17"/>
      <c r="F945" s="22" t="str">
        <f aca="false">IF(D945="","",IFERROR(INDEX(Setup!$C$8:$C$37,MATCH(D945,Setup!$B$8:$B$37,0)),"Check category"))</f>
        <v/>
      </c>
      <c r="G945" s="23" t="str">
        <f aca="false">IF(B945="","",MONTH(B945))</f>
        <v/>
      </c>
      <c r="H945" s="23" t="str">
        <f aca="false">IF(B945="","",YEAR(B945))</f>
        <v/>
      </c>
    </row>
    <row r="946" customFormat="false" ht="15" hidden="false" customHeight="false" outlineLevel="0" collapsed="false">
      <c r="B946" s="21"/>
      <c r="C946" s="16"/>
      <c r="D946" s="16"/>
      <c r="E946" s="17"/>
      <c r="F946" s="22" t="str">
        <f aca="false">IF(D946="","",IFERROR(INDEX(Setup!$C$8:$C$37,MATCH(D946,Setup!$B$8:$B$37,0)),"Check category"))</f>
        <v/>
      </c>
      <c r="G946" s="23" t="str">
        <f aca="false">IF(B946="","",MONTH(B946))</f>
        <v/>
      </c>
      <c r="H946" s="23" t="str">
        <f aca="false">IF(B946="","",YEAR(B946))</f>
        <v/>
      </c>
    </row>
    <row r="947" customFormat="false" ht="15" hidden="false" customHeight="false" outlineLevel="0" collapsed="false">
      <c r="B947" s="21"/>
      <c r="C947" s="16"/>
      <c r="D947" s="16"/>
      <c r="E947" s="17"/>
      <c r="F947" s="22" t="str">
        <f aca="false">IF(D947="","",IFERROR(INDEX(Setup!$C$8:$C$37,MATCH(D947,Setup!$B$8:$B$37,0)),"Check category"))</f>
        <v/>
      </c>
      <c r="G947" s="23" t="str">
        <f aca="false">IF(B947="","",MONTH(B947))</f>
        <v/>
      </c>
      <c r="H947" s="23" t="str">
        <f aca="false">IF(B947="","",YEAR(B947))</f>
        <v/>
      </c>
    </row>
    <row r="948" customFormat="false" ht="15" hidden="false" customHeight="false" outlineLevel="0" collapsed="false">
      <c r="B948" s="21"/>
      <c r="C948" s="16"/>
      <c r="D948" s="16"/>
      <c r="E948" s="17"/>
      <c r="F948" s="22" t="str">
        <f aca="false">IF(D948="","",IFERROR(INDEX(Setup!$C$8:$C$37,MATCH(D948,Setup!$B$8:$B$37,0)),"Check category"))</f>
        <v/>
      </c>
      <c r="G948" s="23" t="str">
        <f aca="false">IF(B948="","",MONTH(B948))</f>
        <v/>
      </c>
      <c r="H948" s="23" t="str">
        <f aca="false">IF(B948="","",YEAR(B948))</f>
        <v/>
      </c>
    </row>
    <row r="949" customFormat="false" ht="15" hidden="false" customHeight="false" outlineLevel="0" collapsed="false">
      <c r="B949" s="21"/>
      <c r="C949" s="16"/>
      <c r="D949" s="16"/>
      <c r="E949" s="17"/>
      <c r="F949" s="22" t="str">
        <f aca="false">IF(D949="","",IFERROR(INDEX(Setup!$C$8:$C$37,MATCH(D949,Setup!$B$8:$B$37,0)),"Check category"))</f>
        <v/>
      </c>
      <c r="G949" s="23" t="str">
        <f aca="false">IF(B949="","",MONTH(B949))</f>
        <v/>
      </c>
      <c r="H949" s="23" t="str">
        <f aca="false">IF(B949="","",YEAR(B949))</f>
        <v/>
      </c>
    </row>
    <row r="950" customFormat="false" ht="15" hidden="false" customHeight="false" outlineLevel="0" collapsed="false">
      <c r="B950" s="21"/>
      <c r="C950" s="16"/>
      <c r="D950" s="16"/>
      <c r="E950" s="17"/>
      <c r="F950" s="22" t="str">
        <f aca="false">IF(D950="","",IFERROR(INDEX(Setup!$C$8:$C$37,MATCH(D950,Setup!$B$8:$B$37,0)),"Check category"))</f>
        <v/>
      </c>
      <c r="G950" s="23" t="str">
        <f aca="false">IF(B950="","",MONTH(B950))</f>
        <v/>
      </c>
      <c r="H950" s="23" t="str">
        <f aca="false">IF(B950="","",YEAR(B950))</f>
        <v/>
      </c>
    </row>
    <row r="951" customFormat="false" ht="15" hidden="false" customHeight="false" outlineLevel="0" collapsed="false">
      <c r="B951" s="21"/>
      <c r="C951" s="16"/>
      <c r="D951" s="16"/>
      <c r="E951" s="17"/>
      <c r="F951" s="22" t="str">
        <f aca="false">IF(D951="","",IFERROR(INDEX(Setup!$C$8:$C$37,MATCH(D951,Setup!$B$8:$B$37,0)),"Check category"))</f>
        <v/>
      </c>
      <c r="G951" s="23" t="str">
        <f aca="false">IF(B951="","",MONTH(B951))</f>
        <v/>
      </c>
      <c r="H951" s="23" t="str">
        <f aca="false">IF(B951="","",YEAR(B951))</f>
        <v/>
      </c>
    </row>
    <row r="952" customFormat="false" ht="15" hidden="false" customHeight="false" outlineLevel="0" collapsed="false">
      <c r="B952" s="21"/>
      <c r="C952" s="16"/>
      <c r="D952" s="16"/>
      <c r="E952" s="17"/>
      <c r="F952" s="22" t="str">
        <f aca="false">IF(D952="","",IFERROR(INDEX(Setup!$C$8:$C$37,MATCH(D952,Setup!$B$8:$B$37,0)),"Check category"))</f>
        <v/>
      </c>
      <c r="G952" s="23" t="str">
        <f aca="false">IF(B952="","",MONTH(B952))</f>
        <v/>
      </c>
      <c r="H952" s="23" t="str">
        <f aca="false">IF(B952="","",YEAR(B952))</f>
        <v/>
      </c>
    </row>
    <row r="953" customFormat="false" ht="15" hidden="false" customHeight="false" outlineLevel="0" collapsed="false">
      <c r="B953" s="21"/>
      <c r="C953" s="16"/>
      <c r="D953" s="16"/>
      <c r="E953" s="17"/>
      <c r="F953" s="22" t="str">
        <f aca="false">IF(D953="","",IFERROR(INDEX(Setup!$C$8:$C$37,MATCH(D953,Setup!$B$8:$B$37,0)),"Check category"))</f>
        <v/>
      </c>
      <c r="G953" s="23" t="str">
        <f aca="false">IF(B953="","",MONTH(B953))</f>
        <v/>
      </c>
      <c r="H953" s="23" t="str">
        <f aca="false">IF(B953="","",YEAR(B953))</f>
        <v/>
      </c>
    </row>
    <row r="954" customFormat="false" ht="15" hidden="false" customHeight="false" outlineLevel="0" collapsed="false">
      <c r="B954" s="21"/>
      <c r="C954" s="16"/>
      <c r="D954" s="16"/>
      <c r="E954" s="17"/>
      <c r="F954" s="22" t="str">
        <f aca="false">IF(D954="","",IFERROR(INDEX(Setup!$C$8:$C$37,MATCH(D954,Setup!$B$8:$B$37,0)),"Check category"))</f>
        <v/>
      </c>
      <c r="G954" s="23" t="str">
        <f aca="false">IF(B954="","",MONTH(B954))</f>
        <v/>
      </c>
      <c r="H954" s="23" t="str">
        <f aca="false">IF(B954="","",YEAR(B954))</f>
        <v/>
      </c>
    </row>
    <row r="955" customFormat="false" ht="15" hidden="false" customHeight="false" outlineLevel="0" collapsed="false">
      <c r="B955" s="21"/>
      <c r="C955" s="16"/>
      <c r="D955" s="16"/>
      <c r="E955" s="17"/>
      <c r="F955" s="22" t="str">
        <f aca="false">IF(D955="","",IFERROR(INDEX(Setup!$C$8:$C$37,MATCH(D955,Setup!$B$8:$B$37,0)),"Check category"))</f>
        <v/>
      </c>
      <c r="G955" s="23" t="str">
        <f aca="false">IF(B955="","",MONTH(B955))</f>
        <v/>
      </c>
      <c r="H955" s="23" t="str">
        <f aca="false">IF(B955="","",YEAR(B955))</f>
        <v/>
      </c>
    </row>
    <row r="956" customFormat="false" ht="15" hidden="false" customHeight="false" outlineLevel="0" collapsed="false">
      <c r="B956" s="21"/>
      <c r="C956" s="16"/>
      <c r="D956" s="16"/>
      <c r="E956" s="17"/>
      <c r="F956" s="22" t="str">
        <f aca="false">IF(D956="","",IFERROR(INDEX(Setup!$C$8:$C$37,MATCH(D956,Setup!$B$8:$B$37,0)),"Check category"))</f>
        <v/>
      </c>
      <c r="G956" s="23" t="str">
        <f aca="false">IF(B956="","",MONTH(B956))</f>
        <v/>
      </c>
      <c r="H956" s="23" t="str">
        <f aca="false">IF(B956="","",YEAR(B956))</f>
        <v/>
      </c>
    </row>
    <row r="957" customFormat="false" ht="15" hidden="false" customHeight="false" outlineLevel="0" collapsed="false">
      <c r="B957" s="21"/>
      <c r="C957" s="16"/>
      <c r="D957" s="16"/>
      <c r="E957" s="17"/>
      <c r="F957" s="22" t="str">
        <f aca="false">IF(D957="","",IFERROR(INDEX(Setup!$C$8:$C$37,MATCH(D957,Setup!$B$8:$B$37,0)),"Check category"))</f>
        <v/>
      </c>
      <c r="G957" s="23" t="str">
        <f aca="false">IF(B957="","",MONTH(B957))</f>
        <v/>
      </c>
      <c r="H957" s="23" t="str">
        <f aca="false">IF(B957="","",YEAR(B957))</f>
        <v/>
      </c>
    </row>
    <row r="958" customFormat="false" ht="15" hidden="false" customHeight="false" outlineLevel="0" collapsed="false">
      <c r="B958" s="21"/>
      <c r="C958" s="16"/>
      <c r="D958" s="16"/>
      <c r="E958" s="17"/>
      <c r="F958" s="22" t="str">
        <f aca="false">IF(D958="","",IFERROR(INDEX(Setup!$C$8:$C$37,MATCH(D958,Setup!$B$8:$B$37,0)),"Check category"))</f>
        <v/>
      </c>
      <c r="G958" s="23" t="str">
        <f aca="false">IF(B958="","",MONTH(B958))</f>
        <v/>
      </c>
      <c r="H958" s="23" t="str">
        <f aca="false">IF(B958="","",YEAR(B958))</f>
        <v/>
      </c>
    </row>
    <row r="959" customFormat="false" ht="15" hidden="false" customHeight="false" outlineLevel="0" collapsed="false">
      <c r="B959" s="21"/>
      <c r="C959" s="16"/>
      <c r="D959" s="16"/>
      <c r="E959" s="17"/>
      <c r="F959" s="22" t="str">
        <f aca="false">IF(D959="","",IFERROR(INDEX(Setup!$C$8:$C$37,MATCH(D959,Setup!$B$8:$B$37,0)),"Check category"))</f>
        <v/>
      </c>
      <c r="G959" s="23" t="str">
        <f aca="false">IF(B959="","",MONTH(B959))</f>
        <v/>
      </c>
      <c r="H959" s="23" t="str">
        <f aca="false">IF(B959="","",YEAR(B959))</f>
        <v/>
      </c>
    </row>
    <row r="960" customFormat="false" ht="15" hidden="false" customHeight="false" outlineLevel="0" collapsed="false">
      <c r="B960" s="21"/>
      <c r="C960" s="16"/>
      <c r="D960" s="16"/>
      <c r="E960" s="17"/>
      <c r="F960" s="22" t="str">
        <f aca="false">IF(D960="","",IFERROR(INDEX(Setup!$C$8:$C$37,MATCH(D960,Setup!$B$8:$B$37,0)),"Check category"))</f>
        <v/>
      </c>
      <c r="G960" s="23" t="str">
        <f aca="false">IF(B960="","",MONTH(B960))</f>
        <v/>
      </c>
      <c r="H960" s="23" t="str">
        <f aca="false">IF(B960="","",YEAR(B960))</f>
        <v/>
      </c>
    </row>
    <row r="961" customFormat="false" ht="15" hidden="false" customHeight="false" outlineLevel="0" collapsed="false">
      <c r="B961" s="21"/>
      <c r="C961" s="16"/>
      <c r="D961" s="16"/>
      <c r="E961" s="17"/>
      <c r="F961" s="22" t="str">
        <f aca="false">IF(D961="","",IFERROR(INDEX(Setup!$C$8:$C$37,MATCH(D961,Setup!$B$8:$B$37,0)),"Check category"))</f>
        <v/>
      </c>
      <c r="G961" s="23" t="str">
        <f aca="false">IF(B961="","",MONTH(B961))</f>
        <v/>
      </c>
      <c r="H961" s="23" t="str">
        <f aca="false">IF(B961="","",YEAR(B961))</f>
        <v/>
      </c>
    </row>
    <row r="962" customFormat="false" ht="15" hidden="false" customHeight="false" outlineLevel="0" collapsed="false">
      <c r="B962" s="21"/>
      <c r="C962" s="16"/>
      <c r="D962" s="16"/>
      <c r="E962" s="17"/>
      <c r="F962" s="22" t="str">
        <f aca="false">IF(D962="","",IFERROR(INDEX(Setup!$C$8:$C$37,MATCH(D962,Setup!$B$8:$B$37,0)),"Check category"))</f>
        <v/>
      </c>
      <c r="G962" s="23" t="str">
        <f aca="false">IF(B962="","",MONTH(B962))</f>
        <v/>
      </c>
      <c r="H962" s="23" t="str">
        <f aca="false">IF(B962="","",YEAR(B962))</f>
        <v/>
      </c>
    </row>
    <row r="963" customFormat="false" ht="15" hidden="false" customHeight="false" outlineLevel="0" collapsed="false">
      <c r="B963" s="21"/>
      <c r="C963" s="16"/>
      <c r="D963" s="16"/>
      <c r="E963" s="17"/>
      <c r="F963" s="22" t="str">
        <f aca="false">IF(D963="","",IFERROR(INDEX(Setup!$C$8:$C$37,MATCH(D963,Setup!$B$8:$B$37,0)),"Check category"))</f>
        <v/>
      </c>
      <c r="G963" s="23" t="str">
        <f aca="false">IF(B963="","",MONTH(B963))</f>
        <v/>
      </c>
      <c r="H963" s="23" t="str">
        <f aca="false">IF(B963="","",YEAR(B963))</f>
        <v/>
      </c>
    </row>
    <row r="964" customFormat="false" ht="15" hidden="false" customHeight="false" outlineLevel="0" collapsed="false">
      <c r="B964" s="21"/>
      <c r="C964" s="16"/>
      <c r="D964" s="16"/>
      <c r="E964" s="17"/>
      <c r="F964" s="22" t="str">
        <f aca="false">IF(D964="","",IFERROR(INDEX(Setup!$C$8:$C$37,MATCH(D964,Setup!$B$8:$B$37,0)),"Check category"))</f>
        <v/>
      </c>
      <c r="G964" s="23" t="str">
        <f aca="false">IF(B964="","",MONTH(B964))</f>
        <v/>
      </c>
      <c r="H964" s="23" t="str">
        <f aca="false">IF(B964="","",YEAR(B964))</f>
        <v/>
      </c>
    </row>
    <row r="965" customFormat="false" ht="15" hidden="false" customHeight="false" outlineLevel="0" collapsed="false">
      <c r="B965" s="21"/>
      <c r="C965" s="16"/>
      <c r="D965" s="16"/>
      <c r="E965" s="17"/>
      <c r="F965" s="22" t="str">
        <f aca="false">IF(D965="","",IFERROR(INDEX(Setup!$C$8:$C$37,MATCH(D965,Setup!$B$8:$B$37,0)),"Check category"))</f>
        <v/>
      </c>
      <c r="G965" s="23" t="str">
        <f aca="false">IF(B965="","",MONTH(B965))</f>
        <v/>
      </c>
      <c r="H965" s="23" t="str">
        <f aca="false">IF(B965="","",YEAR(B965))</f>
        <v/>
      </c>
    </row>
    <row r="966" customFormat="false" ht="15" hidden="false" customHeight="false" outlineLevel="0" collapsed="false">
      <c r="B966" s="21"/>
      <c r="C966" s="16"/>
      <c r="D966" s="16"/>
      <c r="E966" s="17"/>
      <c r="F966" s="22" t="str">
        <f aca="false">IF(D966="","",IFERROR(INDEX(Setup!$C$8:$C$37,MATCH(D966,Setup!$B$8:$B$37,0)),"Check category"))</f>
        <v/>
      </c>
      <c r="G966" s="23" t="str">
        <f aca="false">IF(B966="","",MONTH(B966))</f>
        <v/>
      </c>
      <c r="H966" s="23" t="str">
        <f aca="false">IF(B966="","",YEAR(B966))</f>
        <v/>
      </c>
    </row>
    <row r="967" customFormat="false" ht="15" hidden="false" customHeight="false" outlineLevel="0" collapsed="false">
      <c r="B967" s="21"/>
      <c r="C967" s="16"/>
      <c r="D967" s="16"/>
      <c r="E967" s="17"/>
      <c r="F967" s="22" t="str">
        <f aca="false">IF(D967="","",IFERROR(INDEX(Setup!$C$8:$C$37,MATCH(D967,Setup!$B$8:$B$37,0)),"Check category"))</f>
        <v/>
      </c>
      <c r="G967" s="23" t="str">
        <f aca="false">IF(B967="","",MONTH(B967))</f>
        <v/>
      </c>
      <c r="H967" s="23" t="str">
        <f aca="false">IF(B967="","",YEAR(B967))</f>
        <v/>
      </c>
    </row>
    <row r="968" customFormat="false" ht="15" hidden="false" customHeight="false" outlineLevel="0" collapsed="false">
      <c r="B968" s="21"/>
      <c r="C968" s="16"/>
      <c r="D968" s="16"/>
      <c r="E968" s="17"/>
      <c r="F968" s="22" t="str">
        <f aca="false">IF(D968="","",IFERROR(INDEX(Setup!$C$8:$C$37,MATCH(D968,Setup!$B$8:$B$37,0)),"Check category"))</f>
        <v/>
      </c>
      <c r="G968" s="23" t="str">
        <f aca="false">IF(B968="","",MONTH(B968))</f>
        <v/>
      </c>
      <c r="H968" s="23" t="str">
        <f aca="false">IF(B968="","",YEAR(B968))</f>
        <v/>
      </c>
    </row>
    <row r="969" customFormat="false" ht="15" hidden="false" customHeight="false" outlineLevel="0" collapsed="false">
      <c r="B969" s="21"/>
      <c r="C969" s="16"/>
      <c r="D969" s="16"/>
      <c r="E969" s="17"/>
      <c r="F969" s="22" t="str">
        <f aca="false">IF(D969="","",IFERROR(INDEX(Setup!$C$8:$C$37,MATCH(D969,Setup!$B$8:$B$37,0)),"Check category"))</f>
        <v/>
      </c>
      <c r="G969" s="23" t="str">
        <f aca="false">IF(B969="","",MONTH(B969))</f>
        <v/>
      </c>
      <c r="H969" s="23" t="str">
        <f aca="false">IF(B969="","",YEAR(B969))</f>
        <v/>
      </c>
    </row>
    <row r="970" customFormat="false" ht="15" hidden="false" customHeight="false" outlineLevel="0" collapsed="false">
      <c r="B970" s="21"/>
      <c r="C970" s="16"/>
      <c r="D970" s="16"/>
      <c r="E970" s="17"/>
      <c r="F970" s="22" t="str">
        <f aca="false">IF(D970="","",IFERROR(INDEX(Setup!$C$8:$C$37,MATCH(D970,Setup!$B$8:$B$37,0)),"Check category"))</f>
        <v/>
      </c>
      <c r="G970" s="23" t="str">
        <f aca="false">IF(B970="","",MONTH(B970))</f>
        <v/>
      </c>
      <c r="H970" s="23" t="str">
        <f aca="false">IF(B970="","",YEAR(B970))</f>
        <v/>
      </c>
    </row>
    <row r="971" customFormat="false" ht="15" hidden="false" customHeight="false" outlineLevel="0" collapsed="false">
      <c r="B971" s="21"/>
      <c r="C971" s="16"/>
      <c r="D971" s="16"/>
      <c r="E971" s="17"/>
      <c r="F971" s="22" t="str">
        <f aca="false">IF(D971="","",IFERROR(INDEX(Setup!$C$8:$C$37,MATCH(D971,Setup!$B$8:$B$37,0)),"Check category"))</f>
        <v/>
      </c>
      <c r="G971" s="23" t="str">
        <f aca="false">IF(B971="","",MONTH(B971))</f>
        <v/>
      </c>
      <c r="H971" s="23" t="str">
        <f aca="false">IF(B971="","",YEAR(B971))</f>
        <v/>
      </c>
    </row>
    <row r="972" customFormat="false" ht="15" hidden="false" customHeight="false" outlineLevel="0" collapsed="false">
      <c r="B972" s="21"/>
      <c r="C972" s="16"/>
      <c r="D972" s="16"/>
      <c r="E972" s="17"/>
      <c r="F972" s="22" t="str">
        <f aca="false">IF(D972="","",IFERROR(INDEX(Setup!$C$8:$C$37,MATCH(D972,Setup!$B$8:$B$37,0)),"Check category"))</f>
        <v/>
      </c>
      <c r="G972" s="23" t="str">
        <f aca="false">IF(B972="","",MONTH(B972))</f>
        <v/>
      </c>
      <c r="H972" s="23" t="str">
        <f aca="false">IF(B972="","",YEAR(B972))</f>
        <v/>
      </c>
    </row>
    <row r="973" customFormat="false" ht="15" hidden="false" customHeight="false" outlineLevel="0" collapsed="false">
      <c r="B973" s="21"/>
      <c r="C973" s="16"/>
      <c r="D973" s="16"/>
      <c r="E973" s="17"/>
      <c r="F973" s="22" t="str">
        <f aca="false">IF(D973="","",IFERROR(INDEX(Setup!$C$8:$C$37,MATCH(D973,Setup!$B$8:$B$37,0)),"Check category"))</f>
        <v/>
      </c>
      <c r="G973" s="23" t="str">
        <f aca="false">IF(B973="","",MONTH(B973))</f>
        <v/>
      </c>
      <c r="H973" s="23" t="str">
        <f aca="false">IF(B973="","",YEAR(B973))</f>
        <v/>
      </c>
    </row>
    <row r="974" customFormat="false" ht="15" hidden="false" customHeight="false" outlineLevel="0" collapsed="false">
      <c r="B974" s="21"/>
      <c r="C974" s="16"/>
      <c r="D974" s="16"/>
      <c r="E974" s="17"/>
      <c r="F974" s="22" t="str">
        <f aca="false">IF(D974="","",IFERROR(INDEX(Setup!$C$8:$C$37,MATCH(D974,Setup!$B$8:$B$37,0)),"Check category"))</f>
        <v/>
      </c>
      <c r="G974" s="23" t="str">
        <f aca="false">IF(B974="","",MONTH(B974))</f>
        <v/>
      </c>
      <c r="H974" s="23" t="str">
        <f aca="false">IF(B974="","",YEAR(B974))</f>
        <v/>
      </c>
    </row>
    <row r="975" customFormat="false" ht="15" hidden="false" customHeight="false" outlineLevel="0" collapsed="false">
      <c r="B975" s="21"/>
      <c r="C975" s="16"/>
      <c r="D975" s="16"/>
      <c r="E975" s="17"/>
      <c r="F975" s="22" t="str">
        <f aca="false">IF(D975="","",IFERROR(INDEX(Setup!$C$8:$C$37,MATCH(D975,Setup!$B$8:$B$37,0)),"Check category"))</f>
        <v/>
      </c>
      <c r="G975" s="23" t="str">
        <f aca="false">IF(B975="","",MONTH(B975))</f>
        <v/>
      </c>
      <c r="H975" s="23" t="str">
        <f aca="false">IF(B975="","",YEAR(B975))</f>
        <v/>
      </c>
    </row>
    <row r="976" customFormat="false" ht="15" hidden="false" customHeight="false" outlineLevel="0" collapsed="false">
      <c r="B976" s="21"/>
      <c r="C976" s="16"/>
      <c r="D976" s="16"/>
      <c r="E976" s="17"/>
      <c r="F976" s="22" t="str">
        <f aca="false">IF(D976="","",IFERROR(INDEX(Setup!$C$8:$C$37,MATCH(D976,Setup!$B$8:$B$37,0)),"Check category"))</f>
        <v/>
      </c>
      <c r="G976" s="23" t="str">
        <f aca="false">IF(B976="","",MONTH(B976))</f>
        <v/>
      </c>
      <c r="H976" s="23" t="str">
        <f aca="false">IF(B976="","",YEAR(B976))</f>
        <v/>
      </c>
    </row>
    <row r="977" customFormat="false" ht="15" hidden="false" customHeight="false" outlineLevel="0" collapsed="false">
      <c r="B977" s="21"/>
      <c r="C977" s="16"/>
      <c r="D977" s="16"/>
      <c r="E977" s="17"/>
      <c r="F977" s="22" t="str">
        <f aca="false">IF(D977="","",IFERROR(INDEX(Setup!$C$8:$C$37,MATCH(D977,Setup!$B$8:$B$37,0)),"Check category"))</f>
        <v/>
      </c>
      <c r="G977" s="23" t="str">
        <f aca="false">IF(B977="","",MONTH(B977))</f>
        <v/>
      </c>
      <c r="H977" s="23" t="str">
        <f aca="false">IF(B977="","",YEAR(B977))</f>
        <v/>
      </c>
    </row>
    <row r="978" customFormat="false" ht="15" hidden="false" customHeight="false" outlineLevel="0" collapsed="false">
      <c r="B978" s="21"/>
      <c r="C978" s="16"/>
      <c r="D978" s="16"/>
      <c r="E978" s="17"/>
      <c r="F978" s="22" t="str">
        <f aca="false">IF(D978="","",IFERROR(INDEX(Setup!$C$8:$C$37,MATCH(D978,Setup!$B$8:$B$37,0)),"Check category"))</f>
        <v/>
      </c>
      <c r="G978" s="23" t="str">
        <f aca="false">IF(B978="","",MONTH(B978))</f>
        <v/>
      </c>
      <c r="H978" s="23" t="str">
        <f aca="false">IF(B978="","",YEAR(B978))</f>
        <v/>
      </c>
    </row>
    <row r="979" customFormat="false" ht="15" hidden="false" customHeight="false" outlineLevel="0" collapsed="false">
      <c r="B979" s="21"/>
      <c r="C979" s="16"/>
      <c r="D979" s="16"/>
      <c r="E979" s="17"/>
      <c r="F979" s="22" t="str">
        <f aca="false">IF(D979="","",IFERROR(INDEX(Setup!$C$8:$C$37,MATCH(D979,Setup!$B$8:$B$37,0)),"Check category"))</f>
        <v/>
      </c>
      <c r="G979" s="23" t="str">
        <f aca="false">IF(B979="","",MONTH(B979))</f>
        <v/>
      </c>
      <c r="H979" s="23" t="str">
        <f aca="false">IF(B979="","",YEAR(B979))</f>
        <v/>
      </c>
    </row>
    <row r="980" customFormat="false" ht="15" hidden="false" customHeight="false" outlineLevel="0" collapsed="false">
      <c r="B980" s="21"/>
      <c r="C980" s="16"/>
      <c r="D980" s="16"/>
      <c r="E980" s="17"/>
      <c r="F980" s="22" t="str">
        <f aca="false">IF(D980="","",IFERROR(INDEX(Setup!$C$8:$C$37,MATCH(D980,Setup!$B$8:$B$37,0)),"Check category"))</f>
        <v/>
      </c>
      <c r="G980" s="23" t="str">
        <f aca="false">IF(B980="","",MONTH(B980))</f>
        <v/>
      </c>
      <c r="H980" s="23" t="str">
        <f aca="false">IF(B980="","",YEAR(B980))</f>
        <v/>
      </c>
    </row>
    <row r="981" customFormat="false" ht="15" hidden="false" customHeight="false" outlineLevel="0" collapsed="false">
      <c r="B981" s="21"/>
      <c r="C981" s="16"/>
      <c r="D981" s="16"/>
      <c r="E981" s="17"/>
      <c r="F981" s="22" t="str">
        <f aca="false">IF(D981="","",IFERROR(INDEX(Setup!$C$8:$C$37,MATCH(D981,Setup!$B$8:$B$37,0)),"Check category"))</f>
        <v/>
      </c>
      <c r="G981" s="23" t="str">
        <f aca="false">IF(B981="","",MONTH(B981))</f>
        <v/>
      </c>
      <c r="H981" s="23" t="str">
        <f aca="false">IF(B981="","",YEAR(B981))</f>
        <v/>
      </c>
    </row>
    <row r="982" customFormat="false" ht="15" hidden="false" customHeight="false" outlineLevel="0" collapsed="false">
      <c r="B982" s="21"/>
      <c r="C982" s="16"/>
      <c r="D982" s="16"/>
      <c r="E982" s="17"/>
      <c r="F982" s="22" t="str">
        <f aca="false">IF(D982="","",IFERROR(INDEX(Setup!$C$8:$C$37,MATCH(D982,Setup!$B$8:$B$37,0)),"Check category"))</f>
        <v/>
      </c>
      <c r="G982" s="23" t="str">
        <f aca="false">IF(B982="","",MONTH(B982))</f>
        <v/>
      </c>
      <c r="H982" s="23" t="str">
        <f aca="false">IF(B982="","",YEAR(B982))</f>
        <v/>
      </c>
    </row>
    <row r="983" customFormat="false" ht="15" hidden="false" customHeight="false" outlineLevel="0" collapsed="false">
      <c r="B983" s="21"/>
      <c r="C983" s="16"/>
      <c r="D983" s="16"/>
      <c r="E983" s="17"/>
      <c r="F983" s="22" t="str">
        <f aca="false">IF(D983="","",IFERROR(INDEX(Setup!$C$8:$C$37,MATCH(D983,Setup!$B$8:$B$37,0)),"Check category"))</f>
        <v/>
      </c>
      <c r="G983" s="23" t="str">
        <f aca="false">IF(B983="","",MONTH(B983))</f>
        <v/>
      </c>
      <c r="H983" s="23" t="str">
        <f aca="false">IF(B983="","",YEAR(B983))</f>
        <v/>
      </c>
    </row>
    <row r="984" customFormat="false" ht="15" hidden="false" customHeight="false" outlineLevel="0" collapsed="false">
      <c r="B984" s="21"/>
      <c r="C984" s="16"/>
      <c r="D984" s="16"/>
      <c r="E984" s="17"/>
      <c r="F984" s="22" t="str">
        <f aca="false">IF(D984="","",IFERROR(INDEX(Setup!$C$8:$C$37,MATCH(D984,Setup!$B$8:$B$37,0)),"Check category"))</f>
        <v/>
      </c>
      <c r="G984" s="23" t="str">
        <f aca="false">IF(B984="","",MONTH(B984))</f>
        <v/>
      </c>
      <c r="H984" s="23" t="str">
        <f aca="false">IF(B984="","",YEAR(B984))</f>
        <v/>
      </c>
    </row>
    <row r="985" customFormat="false" ht="15" hidden="false" customHeight="false" outlineLevel="0" collapsed="false">
      <c r="B985" s="21"/>
      <c r="C985" s="16"/>
      <c r="D985" s="16"/>
      <c r="E985" s="17"/>
      <c r="F985" s="22" t="str">
        <f aca="false">IF(D985="","",IFERROR(INDEX(Setup!$C$8:$C$37,MATCH(D985,Setup!$B$8:$B$37,0)),"Check category"))</f>
        <v/>
      </c>
      <c r="G985" s="23" t="str">
        <f aca="false">IF(B985="","",MONTH(B985))</f>
        <v/>
      </c>
      <c r="H985" s="23" t="str">
        <f aca="false">IF(B985="","",YEAR(B985))</f>
        <v/>
      </c>
    </row>
    <row r="986" customFormat="false" ht="15" hidden="false" customHeight="false" outlineLevel="0" collapsed="false">
      <c r="B986" s="21"/>
      <c r="C986" s="16"/>
      <c r="D986" s="16"/>
      <c r="E986" s="17"/>
      <c r="F986" s="22" t="str">
        <f aca="false">IF(D986="","",IFERROR(INDEX(Setup!$C$8:$C$37,MATCH(D986,Setup!$B$8:$B$37,0)),"Check category"))</f>
        <v/>
      </c>
      <c r="G986" s="23" t="str">
        <f aca="false">IF(B986="","",MONTH(B986))</f>
        <v/>
      </c>
      <c r="H986" s="23" t="str">
        <f aca="false">IF(B986="","",YEAR(B986))</f>
        <v/>
      </c>
    </row>
    <row r="987" customFormat="false" ht="15" hidden="false" customHeight="false" outlineLevel="0" collapsed="false">
      <c r="B987" s="21"/>
      <c r="C987" s="16"/>
      <c r="D987" s="16"/>
      <c r="E987" s="17"/>
      <c r="F987" s="22" t="str">
        <f aca="false">IF(D987="","",IFERROR(INDEX(Setup!$C$8:$C$37,MATCH(D987,Setup!$B$8:$B$37,0)),"Check category"))</f>
        <v/>
      </c>
      <c r="G987" s="23" t="str">
        <f aca="false">IF(B987="","",MONTH(B987))</f>
        <v/>
      </c>
      <c r="H987" s="23" t="str">
        <f aca="false">IF(B987="","",YEAR(B987))</f>
        <v/>
      </c>
    </row>
    <row r="988" customFormat="false" ht="15" hidden="false" customHeight="false" outlineLevel="0" collapsed="false">
      <c r="B988" s="21"/>
      <c r="C988" s="16"/>
      <c r="D988" s="16"/>
      <c r="E988" s="17"/>
      <c r="F988" s="22" t="str">
        <f aca="false">IF(D988="","",IFERROR(INDEX(Setup!$C$8:$C$37,MATCH(D988,Setup!$B$8:$B$37,0)),"Check category"))</f>
        <v/>
      </c>
      <c r="G988" s="23" t="str">
        <f aca="false">IF(B988="","",MONTH(B988))</f>
        <v/>
      </c>
      <c r="H988" s="23" t="str">
        <f aca="false">IF(B988="","",YEAR(B988))</f>
        <v/>
      </c>
    </row>
    <row r="989" customFormat="false" ht="15" hidden="false" customHeight="false" outlineLevel="0" collapsed="false">
      <c r="B989" s="21"/>
      <c r="C989" s="16"/>
      <c r="D989" s="16"/>
      <c r="E989" s="17"/>
      <c r="F989" s="22" t="str">
        <f aca="false">IF(D989="","",IFERROR(INDEX(Setup!$C$8:$C$37,MATCH(D989,Setup!$B$8:$B$37,0)),"Check category"))</f>
        <v/>
      </c>
      <c r="G989" s="23" t="str">
        <f aca="false">IF(B989="","",MONTH(B989))</f>
        <v/>
      </c>
      <c r="H989" s="23" t="str">
        <f aca="false">IF(B989="","",YEAR(B989))</f>
        <v/>
      </c>
    </row>
    <row r="990" customFormat="false" ht="15" hidden="false" customHeight="false" outlineLevel="0" collapsed="false">
      <c r="B990" s="21"/>
      <c r="C990" s="16"/>
      <c r="D990" s="16"/>
      <c r="E990" s="17"/>
      <c r="F990" s="22" t="str">
        <f aca="false">IF(D990="","",IFERROR(INDEX(Setup!$C$8:$C$37,MATCH(D990,Setup!$B$8:$B$37,0)),"Check category"))</f>
        <v/>
      </c>
      <c r="G990" s="23" t="str">
        <f aca="false">IF(B990="","",MONTH(B990))</f>
        <v/>
      </c>
      <c r="H990" s="23" t="str">
        <f aca="false">IF(B990="","",YEAR(B990))</f>
        <v/>
      </c>
    </row>
    <row r="991" customFormat="false" ht="15" hidden="false" customHeight="false" outlineLevel="0" collapsed="false">
      <c r="B991" s="21"/>
      <c r="C991" s="16"/>
      <c r="D991" s="16"/>
      <c r="E991" s="17"/>
      <c r="F991" s="22" t="str">
        <f aca="false">IF(D991="","",IFERROR(INDEX(Setup!$C$8:$C$37,MATCH(D991,Setup!$B$8:$B$37,0)),"Check category"))</f>
        <v/>
      </c>
      <c r="G991" s="23" t="str">
        <f aca="false">IF(B991="","",MONTH(B991))</f>
        <v/>
      </c>
      <c r="H991" s="23" t="str">
        <f aca="false">IF(B991="","",YEAR(B991))</f>
        <v/>
      </c>
    </row>
    <row r="992" customFormat="false" ht="15" hidden="false" customHeight="false" outlineLevel="0" collapsed="false">
      <c r="B992" s="21"/>
      <c r="C992" s="16"/>
      <c r="D992" s="16"/>
      <c r="E992" s="17"/>
      <c r="F992" s="22" t="str">
        <f aca="false">IF(D992="","",IFERROR(INDEX(Setup!$C$8:$C$37,MATCH(D992,Setup!$B$8:$B$37,0)),"Check category"))</f>
        <v/>
      </c>
      <c r="G992" s="23" t="str">
        <f aca="false">IF(B992="","",MONTH(B992))</f>
        <v/>
      </c>
      <c r="H992" s="23" t="str">
        <f aca="false">IF(B992="","",YEAR(B992))</f>
        <v/>
      </c>
    </row>
    <row r="993" customFormat="false" ht="15" hidden="false" customHeight="false" outlineLevel="0" collapsed="false">
      <c r="B993" s="21"/>
      <c r="C993" s="16"/>
      <c r="D993" s="16"/>
      <c r="E993" s="17"/>
      <c r="F993" s="22" t="str">
        <f aca="false">IF(D993="","",IFERROR(INDEX(Setup!$C$8:$C$37,MATCH(D993,Setup!$B$8:$B$37,0)),"Check category"))</f>
        <v/>
      </c>
      <c r="G993" s="23" t="str">
        <f aca="false">IF(B993="","",MONTH(B993))</f>
        <v/>
      </c>
      <c r="H993" s="23" t="str">
        <f aca="false">IF(B993="","",YEAR(B993))</f>
        <v/>
      </c>
    </row>
    <row r="994" customFormat="false" ht="15" hidden="false" customHeight="false" outlineLevel="0" collapsed="false">
      <c r="B994" s="21"/>
      <c r="C994" s="16"/>
      <c r="D994" s="16"/>
      <c r="E994" s="17"/>
      <c r="F994" s="22" t="str">
        <f aca="false">IF(D994="","",IFERROR(INDEX(Setup!$C$8:$C$37,MATCH(D994,Setup!$B$8:$B$37,0)),"Check category"))</f>
        <v/>
      </c>
      <c r="G994" s="23" t="str">
        <f aca="false">IF(B994="","",MONTH(B994))</f>
        <v/>
      </c>
      <c r="H994" s="23" t="str">
        <f aca="false">IF(B994="","",YEAR(B994))</f>
        <v/>
      </c>
    </row>
    <row r="995" customFormat="false" ht="15" hidden="false" customHeight="false" outlineLevel="0" collapsed="false">
      <c r="B995" s="21"/>
      <c r="C995" s="16"/>
      <c r="D995" s="16"/>
      <c r="E995" s="17"/>
      <c r="F995" s="22" t="str">
        <f aca="false">IF(D995="","",IFERROR(INDEX(Setup!$C$8:$C$37,MATCH(D995,Setup!$B$8:$B$37,0)),"Check category"))</f>
        <v/>
      </c>
      <c r="G995" s="23" t="str">
        <f aca="false">IF(B995="","",MONTH(B995))</f>
        <v/>
      </c>
      <c r="H995" s="23" t="str">
        <f aca="false">IF(B995="","",YEAR(B995))</f>
        <v/>
      </c>
    </row>
    <row r="996" customFormat="false" ht="15" hidden="false" customHeight="false" outlineLevel="0" collapsed="false">
      <c r="B996" s="21"/>
      <c r="C996" s="16"/>
      <c r="D996" s="16"/>
      <c r="E996" s="17"/>
      <c r="F996" s="22" t="str">
        <f aca="false">IF(D996="","",IFERROR(INDEX(Setup!$C$8:$C$37,MATCH(D996,Setup!$B$8:$B$37,0)),"Check category"))</f>
        <v/>
      </c>
      <c r="G996" s="23" t="str">
        <f aca="false">IF(B996="","",MONTH(B996))</f>
        <v/>
      </c>
      <c r="H996" s="23" t="str">
        <f aca="false">IF(B996="","",YEAR(B996))</f>
        <v/>
      </c>
    </row>
    <row r="997" customFormat="false" ht="15" hidden="false" customHeight="false" outlineLevel="0" collapsed="false">
      <c r="B997" s="21"/>
      <c r="C997" s="16"/>
      <c r="D997" s="16"/>
      <c r="E997" s="17"/>
      <c r="F997" s="22" t="str">
        <f aca="false">IF(D997="","",IFERROR(INDEX(Setup!$C$8:$C$37,MATCH(D997,Setup!$B$8:$B$37,0)),"Check category"))</f>
        <v/>
      </c>
      <c r="G997" s="23" t="str">
        <f aca="false">IF(B997="","",MONTH(B997))</f>
        <v/>
      </c>
      <c r="H997" s="23" t="str">
        <f aca="false">IF(B997="","",YEAR(B997))</f>
        <v/>
      </c>
    </row>
    <row r="998" customFormat="false" ht="15" hidden="false" customHeight="false" outlineLevel="0" collapsed="false">
      <c r="B998" s="21"/>
      <c r="C998" s="16"/>
      <c r="D998" s="16"/>
      <c r="E998" s="17"/>
      <c r="F998" s="22" t="str">
        <f aca="false">IF(D998="","",IFERROR(INDEX(Setup!$C$8:$C$37,MATCH(D998,Setup!$B$8:$B$37,0)),"Check category"))</f>
        <v/>
      </c>
      <c r="G998" s="23" t="str">
        <f aca="false">IF(B998="","",MONTH(B998))</f>
        <v/>
      </c>
      <c r="H998" s="23" t="str">
        <f aca="false">IF(B998="","",YEAR(B998))</f>
        <v/>
      </c>
    </row>
    <row r="999" customFormat="false" ht="15" hidden="false" customHeight="false" outlineLevel="0" collapsed="false">
      <c r="B999" s="21"/>
      <c r="C999" s="16"/>
      <c r="D999" s="16"/>
      <c r="E999" s="17"/>
      <c r="F999" s="22" t="str">
        <f aca="false">IF(D999="","",IFERROR(INDEX(Setup!$C$8:$C$37,MATCH(D999,Setup!$B$8:$B$37,0)),"Check category"))</f>
        <v/>
      </c>
      <c r="G999" s="23" t="str">
        <f aca="false">IF(B999="","",MONTH(B999))</f>
        <v/>
      </c>
      <c r="H999" s="23" t="str">
        <f aca="false">IF(B999="","",YEAR(B999))</f>
        <v/>
      </c>
    </row>
    <row r="1000" customFormat="false" ht="15" hidden="false" customHeight="false" outlineLevel="0" collapsed="false">
      <c r="B1000" s="21"/>
      <c r="C1000" s="16"/>
      <c r="D1000" s="16"/>
      <c r="E1000" s="17"/>
      <c r="F1000" s="22" t="str">
        <f aca="false">IF(D1000="","",IFERROR(INDEX(Setup!$C$8:$C$37,MATCH(D1000,Setup!$B$8:$B$37,0)),"Check category"))</f>
        <v/>
      </c>
      <c r="G1000" s="23" t="str">
        <f aca="false">IF(B1000="","",MONTH(B1000))</f>
        <v/>
      </c>
      <c r="H1000" s="23" t="str">
        <f aca="false">IF(B1000="","",YEAR(B1000))</f>
        <v/>
      </c>
    </row>
    <row r="1001" customFormat="false" ht="15" hidden="false" customHeight="false" outlineLevel="0" collapsed="false">
      <c r="B1001" s="21"/>
      <c r="C1001" s="16"/>
      <c r="D1001" s="16"/>
      <c r="E1001" s="17"/>
      <c r="F1001" s="22" t="str">
        <f aca="false">IF(D1001="","",IFERROR(INDEX(Setup!$C$8:$C$37,MATCH(D1001,Setup!$B$8:$B$37,0)),"Check category"))</f>
        <v/>
      </c>
      <c r="G1001" s="23" t="str">
        <f aca="false">IF(B1001="","",MONTH(B1001))</f>
        <v/>
      </c>
      <c r="H1001" s="23" t="str">
        <f aca="false">IF(B1001="","",YEAR(B1001))</f>
        <v/>
      </c>
    </row>
    <row r="1002" customFormat="false" ht="15" hidden="false" customHeight="false" outlineLevel="0" collapsed="false">
      <c r="B1002" s="21"/>
      <c r="C1002" s="16"/>
      <c r="D1002" s="16"/>
      <c r="E1002" s="17"/>
      <c r="F1002" s="22" t="str">
        <f aca="false">IF(D1002="","",IFERROR(INDEX(Setup!$C$8:$C$37,MATCH(D1002,Setup!$B$8:$B$37,0)),"Check category"))</f>
        <v/>
      </c>
      <c r="G1002" s="23" t="str">
        <f aca="false">IF(B1002="","",MONTH(B1002))</f>
        <v/>
      </c>
      <c r="H1002" s="23" t="str">
        <f aca="false">IF(B1002="","",YEAR(B1002))</f>
        <v/>
      </c>
    </row>
    <row r="1003" customFormat="false" ht="15" hidden="false" customHeight="false" outlineLevel="0" collapsed="false">
      <c r="B1003" s="21"/>
      <c r="C1003" s="16"/>
      <c r="D1003" s="16"/>
      <c r="E1003" s="17"/>
      <c r="F1003" s="22" t="str">
        <f aca="false">IF(D1003="","",IFERROR(INDEX(Setup!$C$8:$C$37,MATCH(D1003,Setup!$B$8:$B$37,0)),"Check category"))</f>
        <v/>
      </c>
      <c r="G1003" s="23" t="str">
        <f aca="false">IF(B1003="","",MONTH(B1003))</f>
        <v/>
      </c>
      <c r="H1003" s="23" t="str">
        <f aca="false">IF(B1003="","",YEAR(B1003))</f>
        <v/>
      </c>
    </row>
    <row r="1004" customFormat="false" ht="15" hidden="false" customHeight="false" outlineLevel="0" collapsed="false">
      <c r="B1004" s="21"/>
      <c r="C1004" s="16"/>
      <c r="D1004" s="16"/>
      <c r="E1004" s="17"/>
      <c r="F1004" s="22" t="str">
        <f aca="false">IF(D1004="","",IFERROR(INDEX(Setup!$C$8:$C$37,MATCH(D1004,Setup!$B$8:$B$37,0)),"Check category"))</f>
        <v/>
      </c>
      <c r="G1004" s="23" t="str">
        <f aca="false">IF(B1004="","",MONTH(B1004))</f>
        <v/>
      </c>
      <c r="H1004" s="23" t="str">
        <f aca="false">IF(B1004="","",YEAR(B1004))</f>
        <v/>
      </c>
    </row>
    <row r="1005" customFormat="false" ht="15" hidden="false" customHeight="false" outlineLevel="0" collapsed="false">
      <c r="B1005" s="21"/>
      <c r="C1005" s="16"/>
      <c r="D1005" s="16"/>
      <c r="E1005" s="17"/>
      <c r="F1005" s="22" t="str">
        <f aca="false">IF(D1005="","",IFERROR(INDEX(Setup!$C$8:$C$37,MATCH(D1005,Setup!$B$8:$B$37,0)),"Check category"))</f>
        <v/>
      </c>
      <c r="G1005" s="23" t="str">
        <f aca="false">IF(B1005="","",MONTH(B1005))</f>
        <v/>
      </c>
      <c r="H1005" s="23" t="str">
        <f aca="false">IF(B1005="","",YEAR(B1005))</f>
        <v/>
      </c>
    </row>
    <row r="1006" customFormat="false" ht="15" hidden="false" customHeight="false" outlineLevel="0" collapsed="false">
      <c r="B1006" s="21"/>
      <c r="C1006" s="16"/>
      <c r="D1006" s="16"/>
      <c r="E1006" s="17"/>
      <c r="F1006" s="22" t="str">
        <f aca="false">IF(D1006="","",IFERROR(INDEX(Setup!$C$8:$C$37,MATCH(D1006,Setup!$B$8:$B$37,0)),"Check category"))</f>
        <v/>
      </c>
      <c r="G1006" s="23" t="str">
        <f aca="false">IF(B1006="","",MONTH(B1006))</f>
        <v/>
      </c>
      <c r="H1006" s="23" t="str">
        <f aca="false">IF(B1006="","",YEAR(B1006))</f>
        <v/>
      </c>
    </row>
    <row r="1007" customFormat="false" ht="15" hidden="false" customHeight="false" outlineLevel="0" collapsed="false">
      <c r="B1007" s="21"/>
      <c r="C1007" s="16"/>
      <c r="D1007" s="16"/>
      <c r="E1007" s="17"/>
      <c r="F1007" s="22" t="str">
        <f aca="false">IF(D1007="","",IFERROR(INDEX(Setup!$C$8:$C$37,MATCH(D1007,Setup!$B$8:$B$37,0)),"Check category"))</f>
        <v/>
      </c>
      <c r="G1007" s="23" t="str">
        <f aca="false">IF(B1007="","",MONTH(B1007))</f>
        <v/>
      </c>
      <c r="H1007" s="23" t="str">
        <f aca="false">IF(B1007="","",YEAR(B1007))</f>
        <v/>
      </c>
    </row>
    <row r="1008" customFormat="false" ht="15" hidden="false" customHeight="false" outlineLevel="0" collapsed="false">
      <c r="B1008" s="21"/>
      <c r="C1008" s="16"/>
      <c r="D1008" s="16"/>
      <c r="E1008" s="17"/>
      <c r="F1008" s="22" t="str">
        <f aca="false">IF(D1008="","",IFERROR(INDEX(Setup!$C$8:$C$37,MATCH(D1008,Setup!$B$8:$B$37,0)),"Check category"))</f>
        <v/>
      </c>
      <c r="G1008" s="23" t="str">
        <f aca="false">IF(B1008="","",MONTH(B1008))</f>
        <v/>
      </c>
      <c r="H1008" s="23" t="str">
        <f aca="false">IF(B1008="","",YEAR(B1008))</f>
        <v/>
      </c>
    </row>
    <row r="1009" customFormat="false" ht="15" hidden="false" customHeight="false" outlineLevel="0" collapsed="false">
      <c r="B1009" s="21"/>
      <c r="C1009" s="16"/>
      <c r="D1009" s="16"/>
      <c r="E1009" s="17"/>
      <c r="F1009" s="22" t="str">
        <f aca="false">IF(D1009="","",IFERROR(INDEX(Setup!$C$8:$C$37,MATCH(D1009,Setup!$B$8:$B$37,0)),"Check category"))</f>
        <v/>
      </c>
      <c r="G1009" s="23" t="str">
        <f aca="false">IF(B1009="","",MONTH(B1009))</f>
        <v/>
      </c>
      <c r="H1009" s="23" t="str">
        <f aca="false">IF(B1009="","",YEAR(B1009))</f>
        <v/>
      </c>
    </row>
    <row r="1010" customFormat="false" ht="15" hidden="false" customHeight="false" outlineLevel="0" collapsed="false">
      <c r="B1010" s="21"/>
      <c r="C1010" s="16"/>
      <c r="D1010" s="16"/>
      <c r="E1010" s="17"/>
      <c r="F1010" s="22" t="str">
        <f aca="false">IF(D1010="","",IFERROR(INDEX(Setup!$C$8:$C$37,MATCH(D1010,Setup!$B$8:$B$37,0)),"Check category"))</f>
        <v/>
      </c>
      <c r="G1010" s="23" t="str">
        <f aca="false">IF(B1010="","",MONTH(B1010))</f>
        <v/>
      </c>
      <c r="H1010" s="23" t="str">
        <f aca="false">IF(B1010="","",YEAR(B1010))</f>
        <v/>
      </c>
    </row>
    <row r="1011" customFormat="false" ht="15" hidden="false" customHeight="false" outlineLevel="0" collapsed="false">
      <c r="B1011" s="21"/>
      <c r="C1011" s="16"/>
      <c r="D1011" s="16"/>
      <c r="E1011" s="17"/>
      <c r="F1011" s="22" t="str">
        <f aca="false">IF(D1011="","",IFERROR(INDEX(Setup!$C$8:$C$37,MATCH(D1011,Setup!$B$8:$B$37,0)),"Check category"))</f>
        <v/>
      </c>
      <c r="G1011" s="23" t="str">
        <f aca="false">IF(B1011="","",MONTH(B1011))</f>
        <v/>
      </c>
      <c r="H1011" s="23" t="str">
        <f aca="false">IF(B1011="","",YEAR(B1011))</f>
        <v/>
      </c>
    </row>
    <row r="1012" customFormat="false" ht="15" hidden="false" customHeight="false" outlineLevel="0" collapsed="false">
      <c r="B1012" s="21"/>
      <c r="C1012" s="16"/>
      <c r="D1012" s="16"/>
      <c r="E1012" s="17"/>
      <c r="F1012" s="22" t="str">
        <f aca="false">IF(D1012="","",IFERROR(INDEX(Setup!$C$8:$C$37,MATCH(D1012,Setup!$B$8:$B$37,0)),"Check category"))</f>
        <v/>
      </c>
      <c r="G1012" s="23" t="str">
        <f aca="false">IF(B1012="","",MONTH(B1012))</f>
        <v/>
      </c>
      <c r="H1012" s="23" t="str">
        <f aca="false">IF(B1012="","",YEAR(B1012))</f>
        <v/>
      </c>
    </row>
    <row r="1013" customFormat="false" ht="15" hidden="false" customHeight="false" outlineLevel="0" collapsed="false">
      <c r="B1013" s="21"/>
      <c r="C1013" s="16"/>
      <c r="D1013" s="16"/>
      <c r="E1013" s="17"/>
      <c r="F1013" s="22" t="str">
        <f aca="false">IF(D1013="","",IFERROR(INDEX(Setup!$C$8:$C$37,MATCH(D1013,Setup!$B$8:$B$37,0)),"Check category"))</f>
        <v/>
      </c>
      <c r="G1013" s="23" t="str">
        <f aca="false">IF(B1013="","",MONTH(B1013))</f>
        <v/>
      </c>
      <c r="H1013" s="23" t="str">
        <f aca="false">IF(B1013="","",YEAR(B1013))</f>
        <v/>
      </c>
    </row>
    <row r="1014" customFormat="false" ht="15" hidden="false" customHeight="false" outlineLevel="0" collapsed="false">
      <c r="B1014" s="21"/>
      <c r="C1014" s="16"/>
      <c r="D1014" s="16"/>
      <c r="E1014" s="17"/>
      <c r="F1014" s="22" t="str">
        <f aca="false">IF(D1014="","",IFERROR(INDEX(Setup!$C$8:$C$37,MATCH(D1014,Setup!$B$8:$B$37,0)),"Check category"))</f>
        <v/>
      </c>
      <c r="G1014" s="23" t="str">
        <f aca="false">IF(B1014="","",MONTH(B1014))</f>
        <v/>
      </c>
      <c r="H1014" s="23" t="str">
        <f aca="false">IF(B1014="","",YEAR(B1014))</f>
        <v/>
      </c>
    </row>
    <row r="1015" customFormat="false" ht="15" hidden="false" customHeight="false" outlineLevel="0" collapsed="false">
      <c r="B1015" s="21"/>
      <c r="C1015" s="16"/>
      <c r="D1015" s="16"/>
      <c r="E1015" s="17"/>
      <c r="F1015" s="22" t="str">
        <f aca="false">IF(D1015="","",IFERROR(INDEX(Setup!$C$8:$C$37,MATCH(D1015,Setup!$B$8:$B$37,0)),"Check category"))</f>
        <v/>
      </c>
      <c r="G1015" s="23" t="str">
        <f aca="false">IF(B1015="","",MONTH(B1015))</f>
        <v/>
      </c>
      <c r="H1015" s="23" t="str">
        <f aca="false">IF(B1015="","",YEAR(B1015))</f>
        <v/>
      </c>
    </row>
    <row r="1016" customFormat="false" ht="15" hidden="false" customHeight="false" outlineLevel="0" collapsed="false">
      <c r="B1016" s="21"/>
      <c r="C1016" s="16"/>
      <c r="D1016" s="16"/>
      <c r="E1016" s="17"/>
      <c r="F1016" s="22" t="str">
        <f aca="false">IF(D1016="","",IFERROR(INDEX(Setup!$C$8:$C$37,MATCH(D1016,Setup!$B$8:$B$37,0)),"Check category"))</f>
        <v/>
      </c>
      <c r="G1016" s="23" t="str">
        <f aca="false">IF(B1016="","",MONTH(B1016))</f>
        <v/>
      </c>
      <c r="H1016" s="23" t="str">
        <f aca="false">IF(B1016="","",YEAR(B1016))</f>
        <v/>
      </c>
    </row>
    <row r="1017" customFormat="false" ht="15" hidden="false" customHeight="false" outlineLevel="0" collapsed="false">
      <c r="B1017" s="21"/>
      <c r="C1017" s="16"/>
      <c r="D1017" s="16"/>
      <c r="E1017" s="17"/>
      <c r="F1017" s="22" t="str">
        <f aca="false">IF(D1017="","",IFERROR(INDEX(Setup!$C$8:$C$37,MATCH(D1017,Setup!$B$8:$B$37,0)),"Check category"))</f>
        <v/>
      </c>
      <c r="G1017" s="23" t="str">
        <f aca="false">IF(B1017="","",MONTH(B1017))</f>
        <v/>
      </c>
      <c r="H1017" s="23" t="str">
        <f aca="false">IF(B1017="","",YEAR(B1017))</f>
        <v/>
      </c>
    </row>
    <row r="1018" customFormat="false" ht="15" hidden="false" customHeight="false" outlineLevel="0" collapsed="false">
      <c r="B1018" s="21"/>
      <c r="C1018" s="16"/>
      <c r="D1018" s="16"/>
      <c r="E1018" s="17"/>
      <c r="F1018" s="22" t="str">
        <f aca="false">IF(D1018="","",IFERROR(INDEX(Setup!$C$8:$C$37,MATCH(D1018,Setup!$B$8:$B$37,0)),"Check category"))</f>
        <v/>
      </c>
      <c r="G1018" s="23" t="str">
        <f aca="false">IF(B1018="","",MONTH(B1018))</f>
        <v/>
      </c>
      <c r="H1018" s="23" t="str">
        <f aca="false">IF(B1018="","",YEAR(B1018))</f>
        <v/>
      </c>
    </row>
    <row r="1019" customFormat="false" ht="15" hidden="false" customHeight="false" outlineLevel="0" collapsed="false">
      <c r="B1019" s="21"/>
      <c r="C1019" s="16"/>
      <c r="D1019" s="16"/>
      <c r="E1019" s="17"/>
      <c r="F1019" s="22" t="str">
        <f aca="false">IF(D1019="","",IFERROR(INDEX(Setup!$C$8:$C$37,MATCH(D1019,Setup!$B$8:$B$37,0)),"Check category"))</f>
        <v/>
      </c>
      <c r="G1019" s="23" t="str">
        <f aca="false">IF(B1019="","",MONTH(B1019))</f>
        <v/>
      </c>
      <c r="H1019" s="23" t="str">
        <f aca="false">IF(B1019="","",YEAR(B1019))</f>
        <v/>
      </c>
    </row>
    <row r="1020" customFormat="false" ht="15" hidden="false" customHeight="false" outlineLevel="0" collapsed="false">
      <c r="B1020" s="21"/>
      <c r="C1020" s="16"/>
      <c r="D1020" s="16"/>
      <c r="E1020" s="17"/>
      <c r="F1020" s="22" t="str">
        <f aca="false">IF(D1020="","",IFERROR(INDEX(Setup!$C$8:$C$37,MATCH(D1020,Setup!$B$8:$B$37,0)),"Check category"))</f>
        <v/>
      </c>
      <c r="G1020" s="23" t="str">
        <f aca="false">IF(B1020="","",MONTH(B1020))</f>
        <v/>
      </c>
      <c r="H1020" s="23" t="str">
        <f aca="false">IF(B1020="","",YEAR(B1020))</f>
        <v/>
      </c>
    </row>
    <row r="1021" customFormat="false" ht="15" hidden="false" customHeight="false" outlineLevel="0" collapsed="false">
      <c r="B1021" s="21"/>
      <c r="C1021" s="16"/>
      <c r="D1021" s="16"/>
      <c r="E1021" s="17"/>
      <c r="F1021" s="22" t="str">
        <f aca="false">IF(D1021="","",IFERROR(INDEX(Setup!$C$8:$C$37,MATCH(D1021,Setup!$B$8:$B$37,0)),"Check category"))</f>
        <v/>
      </c>
      <c r="G1021" s="23" t="str">
        <f aca="false">IF(B1021="","",MONTH(B1021))</f>
        <v/>
      </c>
      <c r="H1021" s="23" t="str">
        <f aca="false">IF(B1021="","",YEAR(B1021))</f>
        <v/>
      </c>
    </row>
    <row r="1022" customFormat="false" ht="15" hidden="false" customHeight="false" outlineLevel="0" collapsed="false">
      <c r="B1022" s="21"/>
      <c r="C1022" s="16"/>
      <c r="D1022" s="16"/>
      <c r="E1022" s="17"/>
      <c r="F1022" s="22" t="str">
        <f aca="false">IF(D1022="","",IFERROR(INDEX(Setup!$C$8:$C$37,MATCH(D1022,Setup!$B$8:$B$37,0)),"Check category"))</f>
        <v/>
      </c>
      <c r="G1022" s="23" t="str">
        <f aca="false">IF(B1022="","",MONTH(B1022))</f>
        <v/>
      </c>
      <c r="H1022" s="23" t="str">
        <f aca="false">IF(B1022="","",YEAR(B1022))</f>
        <v/>
      </c>
    </row>
    <row r="1023" customFormat="false" ht="15" hidden="false" customHeight="false" outlineLevel="0" collapsed="false">
      <c r="B1023" s="21"/>
      <c r="C1023" s="16"/>
      <c r="D1023" s="16"/>
      <c r="E1023" s="17"/>
      <c r="F1023" s="22" t="str">
        <f aca="false">IF(D1023="","",IFERROR(INDEX(Setup!$C$8:$C$37,MATCH(D1023,Setup!$B$8:$B$37,0)),"Check category"))</f>
        <v/>
      </c>
      <c r="G1023" s="23" t="str">
        <f aca="false">IF(B1023="","",MONTH(B1023))</f>
        <v/>
      </c>
      <c r="H1023" s="23" t="str">
        <f aca="false">IF(B1023="","",YEAR(B1023))</f>
        <v/>
      </c>
    </row>
    <row r="1024" customFormat="false" ht="15" hidden="false" customHeight="false" outlineLevel="0" collapsed="false">
      <c r="B1024" s="21"/>
      <c r="C1024" s="16"/>
      <c r="D1024" s="16"/>
      <c r="E1024" s="17"/>
      <c r="F1024" s="22" t="str">
        <f aca="false">IF(D1024="","",IFERROR(INDEX(Setup!$C$8:$C$37,MATCH(D1024,Setup!$B$8:$B$37,0)),"Check category"))</f>
        <v/>
      </c>
      <c r="G1024" s="23" t="str">
        <f aca="false">IF(B1024="","",MONTH(B1024))</f>
        <v/>
      </c>
      <c r="H1024" s="23" t="str">
        <f aca="false">IF(B1024="","",YEAR(B1024))</f>
        <v/>
      </c>
    </row>
    <row r="1025" customFormat="false" ht="15" hidden="false" customHeight="false" outlineLevel="0" collapsed="false">
      <c r="B1025" s="21"/>
      <c r="C1025" s="16"/>
      <c r="D1025" s="16"/>
      <c r="E1025" s="17"/>
      <c r="F1025" s="22" t="str">
        <f aca="false">IF(D1025="","",IFERROR(INDEX(Setup!$C$8:$C$37,MATCH(D1025,Setup!$B$8:$B$37,0)),"Check category"))</f>
        <v/>
      </c>
      <c r="G1025" s="23" t="str">
        <f aca="false">IF(B1025="","",MONTH(B1025))</f>
        <v/>
      </c>
      <c r="H1025" s="23" t="str">
        <f aca="false">IF(B1025="","",YEAR(B1025))</f>
        <v/>
      </c>
    </row>
    <row r="1026" customFormat="false" ht="15" hidden="false" customHeight="false" outlineLevel="0" collapsed="false">
      <c r="B1026" s="21"/>
      <c r="C1026" s="16"/>
      <c r="D1026" s="16"/>
      <c r="E1026" s="17"/>
      <c r="F1026" s="22" t="str">
        <f aca="false">IF(D1026="","",IFERROR(INDEX(Setup!$C$8:$C$37,MATCH(D1026,Setup!$B$8:$B$37,0)),"Check category"))</f>
        <v/>
      </c>
      <c r="G1026" s="23" t="str">
        <f aca="false">IF(B1026="","",MONTH(B1026))</f>
        <v/>
      </c>
      <c r="H1026" s="23" t="str">
        <f aca="false">IF(B1026="","",YEAR(B1026))</f>
        <v/>
      </c>
    </row>
    <row r="1027" customFormat="false" ht="15" hidden="false" customHeight="false" outlineLevel="0" collapsed="false">
      <c r="B1027" s="21"/>
      <c r="C1027" s="16"/>
      <c r="D1027" s="16"/>
      <c r="E1027" s="17"/>
      <c r="F1027" s="22" t="str">
        <f aca="false">IF(D1027="","",IFERROR(INDEX(Setup!$C$8:$C$37,MATCH(D1027,Setup!$B$8:$B$37,0)),"Check category"))</f>
        <v/>
      </c>
      <c r="G1027" s="23" t="str">
        <f aca="false">IF(B1027="","",MONTH(B1027))</f>
        <v/>
      </c>
      <c r="H1027" s="23" t="str">
        <f aca="false">IF(B1027="","",YEAR(B1027))</f>
        <v/>
      </c>
    </row>
    <row r="1028" customFormat="false" ht="15" hidden="false" customHeight="false" outlineLevel="0" collapsed="false">
      <c r="B1028" s="21"/>
      <c r="C1028" s="16"/>
      <c r="D1028" s="16"/>
      <c r="E1028" s="17"/>
      <c r="F1028" s="22" t="str">
        <f aca="false">IF(D1028="","",IFERROR(INDEX(Setup!$C$8:$C$37,MATCH(D1028,Setup!$B$8:$B$37,0)),"Check category"))</f>
        <v/>
      </c>
      <c r="G1028" s="23" t="str">
        <f aca="false">IF(B1028="","",MONTH(B1028))</f>
        <v/>
      </c>
      <c r="H1028" s="23" t="str">
        <f aca="false">IF(B1028="","",YEAR(B1028))</f>
        <v/>
      </c>
    </row>
    <row r="1029" customFormat="false" ht="15" hidden="false" customHeight="false" outlineLevel="0" collapsed="false">
      <c r="B1029" s="21"/>
      <c r="C1029" s="16"/>
      <c r="D1029" s="16"/>
      <c r="E1029" s="17"/>
      <c r="F1029" s="22" t="str">
        <f aca="false">IF(D1029="","",IFERROR(INDEX(Setup!$C$8:$C$37,MATCH(D1029,Setup!$B$8:$B$37,0)),"Check category"))</f>
        <v/>
      </c>
      <c r="G1029" s="23" t="str">
        <f aca="false">IF(B1029="","",MONTH(B1029))</f>
        <v/>
      </c>
      <c r="H1029" s="23" t="str">
        <f aca="false">IF(B1029="","",YEAR(B1029))</f>
        <v/>
      </c>
    </row>
    <row r="1030" customFormat="false" ht="15" hidden="false" customHeight="false" outlineLevel="0" collapsed="false">
      <c r="B1030" s="21"/>
      <c r="C1030" s="16"/>
      <c r="D1030" s="16"/>
      <c r="E1030" s="17"/>
      <c r="F1030" s="22" t="str">
        <f aca="false">IF(D1030="","",IFERROR(INDEX(Setup!$C$8:$C$37,MATCH(D1030,Setup!$B$8:$B$37,0)),"Check category"))</f>
        <v/>
      </c>
      <c r="G1030" s="23" t="str">
        <f aca="false">IF(B1030="","",MONTH(B1030))</f>
        <v/>
      </c>
      <c r="H1030" s="23" t="str">
        <f aca="false">IF(B1030="","",YEAR(B1030))</f>
        <v/>
      </c>
    </row>
    <row r="1031" customFormat="false" ht="15" hidden="false" customHeight="false" outlineLevel="0" collapsed="false">
      <c r="B1031" s="21"/>
      <c r="C1031" s="16"/>
      <c r="D1031" s="16"/>
      <c r="E1031" s="17"/>
      <c r="F1031" s="22" t="str">
        <f aca="false">IF(D1031="","",IFERROR(INDEX(Setup!$C$8:$C$37,MATCH(D1031,Setup!$B$8:$B$37,0)),"Check category"))</f>
        <v/>
      </c>
      <c r="G1031" s="23" t="str">
        <f aca="false">IF(B1031="","",MONTH(B1031))</f>
        <v/>
      </c>
      <c r="H1031" s="23" t="str">
        <f aca="false">IF(B1031="","",YEAR(B1031))</f>
        <v/>
      </c>
    </row>
    <row r="1032" customFormat="false" ht="15" hidden="false" customHeight="false" outlineLevel="0" collapsed="false">
      <c r="B1032" s="21"/>
      <c r="C1032" s="16"/>
      <c r="D1032" s="16"/>
      <c r="E1032" s="17"/>
      <c r="F1032" s="22" t="str">
        <f aca="false">IF(D1032="","",IFERROR(INDEX(Setup!$C$8:$C$37,MATCH(D1032,Setup!$B$8:$B$37,0)),"Check category"))</f>
        <v/>
      </c>
      <c r="G1032" s="23" t="str">
        <f aca="false">IF(B1032="","",MONTH(B1032))</f>
        <v/>
      </c>
      <c r="H1032" s="23" t="str">
        <f aca="false">IF(B1032="","",YEAR(B1032))</f>
        <v/>
      </c>
    </row>
    <row r="1033" customFormat="false" ht="15" hidden="false" customHeight="false" outlineLevel="0" collapsed="false">
      <c r="B1033" s="21"/>
      <c r="C1033" s="16"/>
      <c r="D1033" s="16"/>
      <c r="E1033" s="17"/>
      <c r="F1033" s="22" t="str">
        <f aca="false">IF(D1033="","",IFERROR(INDEX(Setup!$C$8:$C$37,MATCH(D1033,Setup!$B$8:$B$37,0)),"Check category"))</f>
        <v/>
      </c>
      <c r="G1033" s="23" t="str">
        <f aca="false">IF(B1033="","",MONTH(B1033))</f>
        <v/>
      </c>
      <c r="H1033" s="23" t="str">
        <f aca="false">IF(B1033="","",YEAR(B1033))</f>
        <v/>
      </c>
    </row>
    <row r="1034" customFormat="false" ht="15" hidden="false" customHeight="false" outlineLevel="0" collapsed="false">
      <c r="B1034" s="21"/>
      <c r="C1034" s="16"/>
      <c r="D1034" s="16"/>
      <c r="E1034" s="17"/>
      <c r="F1034" s="22" t="str">
        <f aca="false">IF(D1034="","",IFERROR(INDEX(Setup!$C$8:$C$37,MATCH(D1034,Setup!$B$8:$B$37,0)),"Check category"))</f>
        <v/>
      </c>
      <c r="G1034" s="23" t="str">
        <f aca="false">IF(B1034="","",MONTH(B1034))</f>
        <v/>
      </c>
      <c r="H1034" s="23" t="str">
        <f aca="false">IF(B1034="","",YEAR(B1034))</f>
        <v/>
      </c>
    </row>
    <row r="1035" customFormat="false" ht="15" hidden="false" customHeight="false" outlineLevel="0" collapsed="false">
      <c r="B1035" s="21"/>
      <c r="C1035" s="16"/>
      <c r="D1035" s="16"/>
      <c r="E1035" s="17"/>
      <c r="F1035" s="22" t="str">
        <f aca="false">IF(D1035="","",IFERROR(INDEX(Setup!$C$8:$C$37,MATCH(D1035,Setup!$B$8:$B$37,0)),"Check category"))</f>
        <v/>
      </c>
      <c r="G1035" s="23" t="str">
        <f aca="false">IF(B1035="","",MONTH(B1035))</f>
        <v/>
      </c>
      <c r="H1035" s="23" t="str">
        <f aca="false">IF(B1035="","",YEAR(B1035))</f>
        <v/>
      </c>
    </row>
    <row r="1036" customFormat="false" ht="15" hidden="false" customHeight="false" outlineLevel="0" collapsed="false">
      <c r="B1036" s="21"/>
      <c r="C1036" s="16"/>
      <c r="D1036" s="16"/>
      <c r="E1036" s="17"/>
      <c r="F1036" s="22" t="str">
        <f aca="false">IF(D1036="","",IFERROR(INDEX(Setup!$C$8:$C$37,MATCH(D1036,Setup!$B$8:$B$37,0)),"Check category"))</f>
        <v/>
      </c>
      <c r="G1036" s="23" t="str">
        <f aca="false">IF(B1036="","",MONTH(B1036))</f>
        <v/>
      </c>
      <c r="H1036" s="23" t="str">
        <f aca="false">IF(B1036="","",YEAR(B1036))</f>
        <v/>
      </c>
    </row>
    <row r="1037" customFormat="false" ht="15" hidden="false" customHeight="false" outlineLevel="0" collapsed="false">
      <c r="B1037" s="21"/>
      <c r="C1037" s="16"/>
      <c r="D1037" s="16"/>
      <c r="E1037" s="17"/>
      <c r="F1037" s="22" t="str">
        <f aca="false">IF(D1037="","",IFERROR(INDEX(Setup!$C$8:$C$37,MATCH(D1037,Setup!$B$8:$B$37,0)),"Check category"))</f>
        <v/>
      </c>
      <c r="G1037" s="23" t="str">
        <f aca="false">IF(B1037="","",MONTH(B1037))</f>
        <v/>
      </c>
      <c r="H1037" s="23" t="str">
        <f aca="false">IF(B1037="","",YEAR(B1037))</f>
        <v/>
      </c>
    </row>
    <row r="1038" customFormat="false" ht="15" hidden="false" customHeight="false" outlineLevel="0" collapsed="false">
      <c r="B1038" s="21"/>
      <c r="C1038" s="16"/>
      <c r="D1038" s="16"/>
      <c r="E1038" s="17"/>
      <c r="F1038" s="22" t="str">
        <f aca="false">IF(D1038="","",IFERROR(INDEX(Setup!$C$8:$C$37,MATCH(D1038,Setup!$B$8:$B$37,0)),"Check category"))</f>
        <v/>
      </c>
      <c r="G1038" s="23" t="str">
        <f aca="false">IF(B1038="","",MONTH(B1038))</f>
        <v/>
      </c>
      <c r="H1038" s="23" t="str">
        <f aca="false">IF(B1038="","",YEAR(B1038))</f>
        <v/>
      </c>
    </row>
    <row r="1039" customFormat="false" ht="15" hidden="false" customHeight="false" outlineLevel="0" collapsed="false">
      <c r="B1039" s="21"/>
      <c r="C1039" s="16"/>
      <c r="D1039" s="16"/>
      <c r="E1039" s="17"/>
      <c r="F1039" s="22" t="str">
        <f aca="false">IF(D1039="","",IFERROR(INDEX(Setup!$C$8:$C$37,MATCH(D1039,Setup!$B$8:$B$37,0)),"Check category"))</f>
        <v/>
      </c>
      <c r="G1039" s="23" t="str">
        <f aca="false">IF(B1039="","",MONTH(B1039))</f>
        <v/>
      </c>
      <c r="H1039" s="23" t="str">
        <f aca="false">IF(B1039="","",YEAR(B1039))</f>
        <v/>
      </c>
    </row>
    <row r="1040" customFormat="false" ht="15" hidden="false" customHeight="false" outlineLevel="0" collapsed="false">
      <c r="B1040" s="21"/>
      <c r="C1040" s="16"/>
      <c r="D1040" s="16"/>
      <c r="E1040" s="17"/>
      <c r="F1040" s="22" t="str">
        <f aca="false">IF(D1040="","",IFERROR(INDEX(Setup!$C$8:$C$37,MATCH(D1040,Setup!$B$8:$B$37,0)),"Check category"))</f>
        <v/>
      </c>
      <c r="G1040" s="23" t="str">
        <f aca="false">IF(B1040="","",MONTH(B1040))</f>
        <v/>
      </c>
      <c r="H1040" s="23" t="str">
        <f aca="false">IF(B1040="","",YEAR(B1040))</f>
        <v/>
      </c>
    </row>
    <row r="1041" customFormat="false" ht="15" hidden="false" customHeight="false" outlineLevel="0" collapsed="false">
      <c r="B1041" s="21"/>
      <c r="C1041" s="16"/>
      <c r="D1041" s="16"/>
      <c r="E1041" s="17"/>
      <c r="F1041" s="22" t="str">
        <f aca="false">IF(D1041="","",IFERROR(INDEX(Setup!$C$8:$C$37,MATCH(D1041,Setup!$B$8:$B$37,0)),"Check category"))</f>
        <v/>
      </c>
      <c r="G1041" s="23" t="str">
        <f aca="false">IF(B1041="","",MONTH(B1041))</f>
        <v/>
      </c>
      <c r="H1041" s="23" t="str">
        <f aca="false">IF(B1041="","",YEAR(B1041))</f>
        <v/>
      </c>
    </row>
    <row r="1042" customFormat="false" ht="15" hidden="false" customHeight="false" outlineLevel="0" collapsed="false">
      <c r="B1042" s="21"/>
      <c r="C1042" s="16"/>
      <c r="D1042" s="16"/>
      <c r="E1042" s="17"/>
      <c r="F1042" s="22" t="str">
        <f aca="false">IF(D1042="","",IFERROR(INDEX(Setup!$C$8:$C$37,MATCH(D1042,Setup!$B$8:$B$37,0)),"Check category"))</f>
        <v/>
      </c>
      <c r="G1042" s="23" t="str">
        <f aca="false">IF(B1042="","",MONTH(B1042))</f>
        <v/>
      </c>
      <c r="H1042" s="23" t="str">
        <f aca="false">IF(B1042="","",YEAR(B1042))</f>
        <v/>
      </c>
    </row>
    <row r="1043" customFormat="false" ht="15" hidden="false" customHeight="false" outlineLevel="0" collapsed="false">
      <c r="B1043" s="21"/>
      <c r="C1043" s="16"/>
      <c r="D1043" s="16"/>
      <c r="E1043" s="17"/>
      <c r="F1043" s="22" t="str">
        <f aca="false">IF(D1043="","",IFERROR(INDEX(Setup!$C$8:$C$37,MATCH(D1043,Setup!$B$8:$B$37,0)),"Check category"))</f>
        <v/>
      </c>
      <c r="G1043" s="23" t="str">
        <f aca="false">IF(B1043="","",MONTH(B1043))</f>
        <v/>
      </c>
      <c r="H1043" s="23" t="str">
        <f aca="false">IF(B1043="","",YEAR(B1043))</f>
        <v/>
      </c>
    </row>
    <row r="1044" customFormat="false" ht="15" hidden="false" customHeight="false" outlineLevel="0" collapsed="false">
      <c r="B1044" s="21"/>
      <c r="C1044" s="16"/>
      <c r="D1044" s="16"/>
      <c r="E1044" s="17"/>
      <c r="F1044" s="22" t="str">
        <f aca="false">IF(D1044="","",IFERROR(INDEX(Setup!$C$8:$C$37,MATCH(D1044,Setup!$B$8:$B$37,0)),"Check category"))</f>
        <v/>
      </c>
      <c r="G1044" s="23" t="str">
        <f aca="false">IF(B1044="","",MONTH(B1044))</f>
        <v/>
      </c>
      <c r="H1044" s="23" t="str">
        <f aca="false">IF(B1044="","",YEAR(B1044))</f>
        <v/>
      </c>
    </row>
    <row r="1045" customFormat="false" ht="15" hidden="false" customHeight="false" outlineLevel="0" collapsed="false">
      <c r="B1045" s="21"/>
      <c r="C1045" s="16"/>
      <c r="D1045" s="16"/>
      <c r="E1045" s="17"/>
      <c r="F1045" s="22" t="str">
        <f aca="false">IF(D1045="","",IFERROR(INDEX(Setup!$C$8:$C$37,MATCH(D1045,Setup!$B$8:$B$37,0)),"Check category"))</f>
        <v/>
      </c>
      <c r="G1045" s="23" t="str">
        <f aca="false">IF(B1045="","",MONTH(B1045))</f>
        <v/>
      </c>
      <c r="H1045" s="23" t="str">
        <f aca="false">IF(B1045="","",YEAR(B1045))</f>
        <v/>
      </c>
    </row>
    <row r="1046" customFormat="false" ht="15" hidden="false" customHeight="false" outlineLevel="0" collapsed="false">
      <c r="B1046" s="21"/>
      <c r="C1046" s="16"/>
      <c r="D1046" s="16"/>
      <c r="E1046" s="17"/>
      <c r="F1046" s="22" t="str">
        <f aca="false">IF(D1046="","",IFERROR(INDEX(Setup!$C$8:$C$37,MATCH(D1046,Setup!$B$8:$B$37,0)),"Check category"))</f>
        <v/>
      </c>
      <c r="G1046" s="23" t="str">
        <f aca="false">IF(B1046="","",MONTH(B1046))</f>
        <v/>
      </c>
      <c r="H1046" s="23" t="str">
        <f aca="false">IF(B1046="","",YEAR(B1046))</f>
        <v/>
      </c>
    </row>
    <row r="1047" customFormat="false" ht="15" hidden="false" customHeight="false" outlineLevel="0" collapsed="false">
      <c r="B1047" s="21"/>
      <c r="C1047" s="16"/>
      <c r="D1047" s="16"/>
      <c r="E1047" s="17"/>
      <c r="F1047" s="22" t="str">
        <f aca="false">IF(D1047="","",IFERROR(INDEX(Setup!$C$8:$C$37,MATCH(D1047,Setup!$B$8:$B$37,0)),"Check category"))</f>
        <v/>
      </c>
      <c r="G1047" s="23" t="str">
        <f aca="false">IF(B1047="","",MONTH(B1047))</f>
        <v/>
      </c>
      <c r="H1047" s="23" t="str">
        <f aca="false">IF(B1047="","",YEAR(B1047))</f>
        <v/>
      </c>
    </row>
    <row r="1048" customFormat="false" ht="15" hidden="false" customHeight="false" outlineLevel="0" collapsed="false">
      <c r="B1048" s="21"/>
      <c r="C1048" s="16"/>
      <c r="D1048" s="16"/>
      <c r="E1048" s="17"/>
      <c r="F1048" s="22" t="str">
        <f aca="false">IF(D1048="","",IFERROR(INDEX(Setup!$C$8:$C$37,MATCH(D1048,Setup!$B$8:$B$37,0)),"Check category"))</f>
        <v/>
      </c>
      <c r="G1048" s="23" t="str">
        <f aca="false">IF(B1048="","",MONTH(B1048))</f>
        <v/>
      </c>
      <c r="H1048" s="23" t="str">
        <f aca="false">IF(B1048="","",YEAR(B1048))</f>
        <v/>
      </c>
    </row>
    <row r="1049" customFormat="false" ht="15" hidden="false" customHeight="false" outlineLevel="0" collapsed="false">
      <c r="B1049" s="21"/>
      <c r="C1049" s="16"/>
      <c r="D1049" s="16"/>
      <c r="E1049" s="17"/>
      <c r="F1049" s="22" t="str">
        <f aca="false">IF(D1049="","",IFERROR(INDEX(Setup!$C$8:$C$37,MATCH(D1049,Setup!$B$8:$B$37,0)),"Check category"))</f>
        <v/>
      </c>
      <c r="G1049" s="23" t="str">
        <f aca="false">IF(B1049="","",MONTH(B1049))</f>
        <v/>
      </c>
      <c r="H1049" s="23" t="str">
        <f aca="false">IF(B1049="","",YEAR(B1049))</f>
        <v/>
      </c>
    </row>
    <row r="1050" customFormat="false" ht="15" hidden="false" customHeight="false" outlineLevel="0" collapsed="false">
      <c r="B1050" s="21"/>
      <c r="C1050" s="16"/>
      <c r="D1050" s="16"/>
      <c r="E1050" s="17"/>
      <c r="F1050" s="22" t="str">
        <f aca="false">IF(D1050="","",IFERROR(INDEX(Setup!$C$8:$C$37,MATCH(D1050,Setup!$B$8:$B$37,0)),"Check category"))</f>
        <v/>
      </c>
      <c r="G1050" s="23" t="str">
        <f aca="false">IF(B1050="","",MONTH(B1050))</f>
        <v/>
      </c>
      <c r="H1050" s="23" t="str">
        <f aca="false">IF(B1050="","",YEAR(B1050))</f>
        <v/>
      </c>
    </row>
    <row r="1051" customFormat="false" ht="15" hidden="false" customHeight="false" outlineLevel="0" collapsed="false">
      <c r="B1051" s="21"/>
      <c r="C1051" s="16"/>
      <c r="D1051" s="16"/>
      <c r="E1051" s="17"/>
      <c r="F1051" s="22" t="str">
        <f aca="false">IF(D1051="","",IFERROR(INDEX(Setup!$C$8:$C$37,MATCH(D1051,Setup!$B$8:$B$37,0)),"Check category"))</f>
        <v/>
      </c>
      <c r="G1051" s="23" t="str">
        <f aca="false">IF(B1051="","",MONTH(B1051))</f>
        <v/>
      </c>
      <c r="H1051" s="23" t="str">
        <f aca="false">IF(B1051="","",YEAR(B1051))</f>
        <v/>
      </c>
    </row>
    <row r="1052" customFormat="false" ht="15" hidden="false" customHeight="false" outlineLevel="0" collapsed="false">
      <c r="B1052" s="21"/>
      <c r="C1052" s="16"/>
      <c r="D1052" s="16"/>
      <c r="E1052" s="17"/>
      <c r="F1052" s="22" t="str">
        <f aca="false">IF(D1052="","",IFERROR(INDEX(Setup!$C$8:$C$37,MATCH(D1052,Setup!$B$8:$B$37,0)),"Check category"))</f>
        <v/>
      </c>
      <c r="G1052" s="23" t="str">
        <f aca="false">IF(B1052="","",MONTH(B1052))</f>
        <v/>
      </c>
      <c r="H1052" s="23" t="str">
        <f aca="false">IF(B1052="","",YEAR(B1052))</f>
        <v/>
      </c>
    </row>
    <row r="1053" customFormat="false" ht="15" hidden="false" customHeight="false" outlineLevel="0" collapsed="false">
      <c r="B1053" s="21"/>
      <c r="C1053" s="16"/>
      <c r="D1053" s="16"/>
      <c r="E1053" s="17"/>
      <c r="F1053" s="22" t="str">
        <f aca="false">IF(D1053="","",IFERROR(INDEX(Setup!$C$8:$C$37,MATCH(D1053,Setup!$B$8:$B$37,0)),"Check category"))</f>
        <v/>
      </c>
      <c r="G1053" s="23" t="str">
        <f aca="false">IF(B1053="","",MONTH(B1053))</f>
        <v/>
      </c>
      <c r="H1053" s="23" t="str">
        <f aca="false">IF(B1053="","",YEAR(B1053))</f>
        <v/>
      </c>
    </row>
    <row r="1054" customFormat="false" ht="15" hidden="false" customHeight="false" outlineLevel="0" collapsed="false">
      <c r="B1054" s="21"/>
      <c r="C1054" s="16"/>
      <c r="D1054" s="16"/>
      <c r="E1054" s="17"/>
      <c r="F1054" s="22" t="str">
        <f aca="false">IF(D1054="","",IFERROR(INDEX(Setup!$C$8:$C$37,MATCH(D1054,Setup!$B$8:$B$37,0)),"Check category"))</f>
        <v/>
      </c>
      <c r="G1054" s="23" t="str">
        <f aca="false">IF(B1054="","",MONTH(B1054))</f>
        <v/>
      </c>
      <c r="H1054" s="23" t="str">
        <f aca="false">IF(B1054="","",YEAR(B1054))</f>
        <v/>
      </c>
    </row>
    <row r="1055" customFormat="false" ht="15" hidden="false" customHeight="false" outlineLevel="0" collapsed="false">
      <c r="B1055" s="21"/>
      <c r="C1055" s="16"/>
      <c r="D1055" s="16"/>
      <c r="E1055" s="17"/>
      <c r="F1055" s="22" t="str">
        <f aca="false">IF(D1055="","",IFERROR(INDEX(Setup!$C$8:$C$37,MATCH(D1055,Setup!$B$8:$B$37,0)),"Check category"))</f>
        <v/>
      </c>
      <c r="G1055" s="23" t="str">
        <f aca="false">IF(B1055="","",MONTH(B1055))</f>
        <v/>
      </c>
      <c r="H1055" s="23" t="str">
        <f aca="false">IF(B1055="","",YEAR(B1055))</f>
        <v/>
      </c>
    </row>
    <row r="1056" customFormat="false" ht="15" hidden="false" customHeight="false" outlineLevel="0" collapsed="false">
      <c r="B1056" s="21"/>
      <c r="C1056" s="16"/>
      <c r="D1056" s="16"/>
      <c r="E1056" s="17"/>
      <c r="F1056" s="22" t="str">
        <f aca="false">IF(D1056="","",IFERROR(INDEX(Setup!$C$8:$C$37,MATCH(D1056,Setup!$B$8:$B$37,0)),"Check category"))</f>
        <v/>
      </c>
      <c r="G1056" s="23" t="str">
        <f aca="false">IF(B1056="","",MONTH(B1056))</f>
        <v/>
      </c>
      <c r="H1056" s="23" t="str">
        <f aca="false">IF(B1056="","",YEAR(B1056))</f>
        <v/>
      </c>
    </row>
    <row r="1057" customFormat="false" ht="15" hidden="false" customHeight="false" outlineLevel="0" collapsed="false">
      <c r="B1057" s="21"/>
      <c r="C1057" s="16"/>
      <c r="D1057" s="16"/>
      <c r="E1057" s="17"/>
      <c r="F1057" s="22" t="str">
        <f aca="false">IF(D1057="","",IFERROR(INDEX(Setup!$C$8:$C$37,MATCH(D1057,Setup!$B$8:$B$37,0)),"Check category"))</f>
        <v/>
      </c>
      <c r="G1057" s="23" t="str">
        <f aca="false">IF(B1057="","",MONTH(B1057))</f>
        <v/>
      </c>
      <c r="H1057" s="23" t="str">
        <f aca="false">IF(B1057="","",YEAR(B1057))</f>
        <v/>
      </c>
    </row>
    <row r="1058" customFormat="false" ht="15" hidden="false" customHeight="false" outlineLevel="0" collapsed="false">
      <c r="B1058" s="21"/>
      <c r="C1058" s="16"/>
      <c r="D1058" s="16"/>
      <c r="E1058" s="17"/>
      <c r="F1058" s="22" t="str">
        <f aca="false">IF(D1058="","",IFERROR(INDEX(Setup!$C$8:$C$37,MATCH(D1058,Setup!$B$8:$B$37,0)),"Check category"))</f>
        <v/>
      </c>
      <c r="G1058" s="23" t="str">
        <f aca="false">IF(B1058="","",MONTH(B1058))</f>
        <v/>
      </c>
      <c r="H1058" s="23" t="str">
        <f aca="false">IF(B1058="","",YEAR(B1058))</f>
        <v/>
      </c>
    </row>
    <row r="1059" customFormat="false" ht="15" hidden="false" customHeight="false" outlineLevel="0" collapsed="false">
      <c r="B1059" s="21"/>
      <c r="C1059" s="16"/>
      <c r="D1059" s="16"/>
      <c r="E1059" s="17"/>
      <c r="F1059" s="22" t="str">
        <f aca="false">IF(D1059="","",IFERROR(INDEX(Setup!$C$8:$C$37,MATCH(D1059,Setup!$B$8:$B$37,0)),"Check category"))</f>
        <v/>
      </c>
      <c r="G1059" s="23" t="str">
        <f aca="false">IF(B1059="","",MONTH(B1059))</f>
        <v/>
      </c>
      <c r="H1059" s="23" t="str">
        <f aca="false">IF(B1059="","",YEAR(B1059))</f>
        <v/>
      </c>
    </row>
    <row r="1060" customFormat="false" ht="15" hidden="false" customHeight="false" outlineLevel="0" collapsed="false">
      <c r="B1060" s="21"/>
      <c r="C1060" s="16"/>
      <c r="D1060" s="16"/>
      <c r="E1060" s="17"/>
      <c r="F1060" s="22" t="str">
        <f aca="false">IF(D1060="","",IFERROR(INDEX(Setup!$C$8:$C$37,MATCH(D1060,Setup!$B$8:$B$37,0)),"Check category"))</f>
        <v/>
      </c>
      <c r="G1060" s="23" t="str">
        <f aca="false">IF(B1060="","",MONTH(B1060))</f>
        <v/>
      </c>
      <c r="H1060" s="23" t="str">
        <f aca="false">IF(B1060="","",YEAR(B1060))</f>
        <v/>
      </c>
    </row>
    <row r="1061" customFormat="false" ht="15" hidden="false" customHeight="false" outlineLevel="0" collapsed="false">
      <c r="B1061" s="21"/>
      <c r="C1061" s="16"/>
      <c r="D1061" s="16"/>
      <c r="E1061" s="17"/>
      <c r="F1061" s="22" t="str">
        <f aca="false">IF(D1061="","",IFERROR(INDEX(Setup!$C$8:$C$37,MATCH(D1061,Setup!$B$8:$B$37,0)),"Check category"))</f>
        <v/>
      </c>
      <c r="G1061" s="23" t="str">
        <f aca="false">IF(B1061="","",MONTH(B1061))</f>
        <v/>
      </c>
      <c r="H1061" s="23" t="str">
        <f aca="false">IF(B1061="","",YEAR(B1061))</f>
        <v/>
      </c>
    </row>
    <row r="1062" customFormat="false" ht="15" hidden="false" customHeight="false" outlineLevel="0" collapsed="false">
      <c r="B1062" s="21"/>
      <c r="C1062" s="16"/>
      <c r="D1062" s="16"/>
      <c r="E1062" s="17"/>
      <c r="F1062" s="22" t="str">
        <f aca="false">IF(D1062="","",IFERROR(INDEX(Setup!$C$8:$C$37,MATCH(D1062,Setup!$B$8:$B$37,0)),"Check category"))</f>
        <v/>
      </c>
      <c r="G1062" s="23" t="str">
        <f aca="false">IF(B1062="","",MONTH(B1062))</f>
        <v/>
      </c>
      <c r="H1062" s="23" t="str">
        <f aca="false">IF(B1062="","",YEAR(B1062))</f>
        <v/>
      </c>
    </row>
    <row r="1063" customFormat="false" ht="15" hidden="false" customHeight="false" outlineLevel="0" collapsed="false">
      <c r="B1063" s="21"/>
      <c r="C1063" s="16"/>
      <c r="D1063" s="16"/>
      <c r="E1063" s="17"/>
      <c r="F1063" s="22" t="str">
        <f aca="false">IF(D1063="","",IFERROR(INDEX(Setup!$C$8:$C$37,MATCH(D1063,Setup!$B$8:$B$37,0)),"Check category"))</f>
        <v/>
      </c>
      <c r="G1063" s="23" t="str">
        <f aca="false">IF(B1063="","",MONTH(B1063))</f>
        <v/>
      </c>
      <c r="H1063" s="23" t="str">
        <f aca="false">IF(B1063="","",YEAR(B1063))</f>
        <v/>
      </c>
    </row>
    <row r="1064" customFormat="false" ht="15" hidden="false" customHeight="false" outlineLevel="0" collapsed="false">
      <c r="B1064" s="21"/>
      <c r="C1064" s="16"/>
      <c r="D1064" s="16"/>
      <c r="E1064" s="17"/>
      <c r="F1064" s="22" t="str">
        <f aca="false">IF(D1064="","",IFERROR(INDEX(Setup!$C$8:$C$37,MATCH(D1064,Setup!$B$8:$B$37,0)),"Check category"))</f>
        <v/>
      </c>
      <c r="G1064" s="23" t="str">
        <f aca="false">IF(B1064="","",MONTH(B1064))</f>
        <v/>
      </c>
      <c r="H1064" s="23" t="str">
        <f aca="false">IF(B1064="","",YEAR(B1064))</f>
        <v/>
      </c>
    </row>
    <row r="1065" customFormat="false" ht="15" hidden="false" customHeight="false" outlineLevel="0" collapsed="false">
      <c r="B1065" s="21"/>
      <c r="C1065" s="16"/>
      <c r="D1065" s="16"/>
      <c r="E1065" s="17"/>
      <c r="F1065" s="22" t="str">
        <f aca="false">IF(D1065="","",IFERROR(INDEX(Setup!$C$8:$C$37,MATCH(D1065,Setup!$B$8:$B$37,0)),"Check category"))</f>
        <v/>
      </c>
      <c r="G1065" s="23" t="str">
        <f aca="false">IF(B1065="","",MONTH(B1065))</f>
        <v/>
      </c>
      <c r="H1065" s="23" t="str">
        <f aca="false">IF(B1065="","",YEAR(B1065))</f>
        <v/>
      </c>
    </row>
    <row r="1066" customFormat="false" ht="15" hidden="false" customHeight="false" outlineLevel="0" collapsed="false">
      <c r="B1066" s="21"/>
      <c r="C1066" s="16"/>
      <c r="D1066" s="16"/>
      <c r="E1066" s="17"/>
      <c r="F1066" s="22" t="str">
        <f aca="false">IF(D1066="","",IFERROR(INDEX(Setup!$C$8:$C$37,MATCH(D1066,Setup!$B$8:$B$37,0)),"Check category"))</f>
        <v/>
      </c>
      <c r="G1066" s="23" t="str">
        <f aca="false">IF(B1066="","",MONTH(B1066))</f>
        <v/>
      </c>
      <c r="H1066" s="23" t="str">
        <f aca="false">IF(B1066="","",YEAR(B1066))</f>
        <v/>
      </c>
    </row>
    <row r="1067" customFormat="false" ht="15" hidden="false" customHeight="false" outlineLevel="0" collapsed="false">
      <c r="B1067" s="21"/>
      <c r="C1067" s="16"/>
      <c r="D1067" s="16"/>
      <c r="E1067" s="17"/>
      <c r="F1067" s="22" t="str">
        <f aca="false">IF(D1067="","",IFERROR(INDEX(Setup!$C$8:$C$37,MATCH(D1067,Setup!$B$8:$B$37,0)),"Check category"))</f>
        <v/>
      </c>
      <c r="G1067" s="23" t="str">
        <f aca="false">IF(B1067="","",MONTH(B1067))</f>
        <v/>
      </c>
      <c r="H1067" s="23" t="str">
        <f aca="false">IF(B1067="","",YEAR(B1067))</f>
        <v/>
      </c>
    </row>
    <row r="1068" customFormat="false" ht="15" hidden="false" customHeight="false" outlineLevel="0" collapsed="false">
      <c r="B1068" s="21"/>
      <c r="C1068" s="16"/>
      <c r="D1068" s="16"/>
      <c r="E1068" s="17"/>
      <c r="F1068" s="22" t="str">
        <f aca="false">IF(D1068="","",IFERROR(INDEX(Setup!$C$8:$C$37,MATCH(D1068,Setup!$B$8:$B$37,0)),"Check category"))</f>
        <v/>
      </c>
      <c r="G1068" s="23" t="str">
        <f aca="false">IF(B1068="","",MONTH(B1068))</f>
        <v/>
      </c>
      <c r="H1068" s="23" t="str">
        <f aca="false">IF(B1068="","",YEAR(B1068))</f>
        <v/>
      </c>
    </row>
    <row r="1069" customFormat="false" ht="15" hidden="false" customHeight="false" outlineLevel="0" collapsed="false">
      <c r="B1069" s="21"/>
      <c r="C1069" s="16"/>
      <c r="D1069" s="16"/>
      <c r="E1069" s="17"/>
      <c r="F1069" s="22" t="str">
        <f aca="false">IF(D1069="","",IFERROR(INDEX(Setup!$C$8:$C$37,MATCH(D1069,Setup!$B$8:$B$37,0)),"Check category"))</f>
        <v/>
      </c>
      <c r="G1069" s="23" t="str">
        <f aca="false">IF(B1069="","",MONTH(B1069))</f>
        <v/>
      </c>
      <c r="H1069" s="23" t="str">
        <f aca="false">IF(B1069="","",YEAR(B1069))</f>
        <v/>
      </c>
    </row>
    <row r="1070" customFormat="false" ht="15" hidden="false" customHeight="false" outlineLevel="0" collapsed="false">
      <c r="B1070" s="21"/>
      <c r="C1070" s="16"/>
      <c r="D1070" s="16"/>
      <c r="E1070" s="17"/>
      <c r="F1070" s="22" t="str">
        <f aca="false">IF(D1070="","",IFERROR(INDEX(Setup!$C$8:$C$37,MATCH(D1070,Setup!$B$8:$B$37,0)),"Check category"))</f>
        <v/>
      </c>
      <c r="G1070" s="23" t="str">
        <f aca="false">IF(B1070="","",MONTH(B1070))</f>
        <v/>
      </c>
      <c r="H1070" s="23" t="str">
        <f aca="false">IF(B1070="","",YEAR(B1070))</f>
        <v/>
      </c>
    </row>
    <row r="1071" customFormat="false" ht="15" hidden="false" customHeight="false" outlineLevel="0" collapsed="false">
      <c r="B1071" s="21"/>
      <c r="C1071" s="16"/>
      <c r="D1071" s="16"/>
      <c r="E1071" s="17"/>
      <c r="F1071" s="22" t="str">
        <f aca="false">IF(D1071="","",IFERROR(INDEX(Setup!$C$8:$C$37,MATCH(D1071,Setup!$B$8:$B$37,0)),"Check category"))</f>
        <v/>
      </c>
      <c r="G1071" s="23" t="str">
        <f aca="false">IF(B1071="","",MONTH(B1071))</f>
        <v/>
      </c>
      <c r="H1071" s="23" t="str">
        <f aca="false">IF(B1071="","",YEAR(B1071))</f>
        <v/>
      </c>
    </row>
    <row r="1072" customFormat="false" ht="15" hidden="false" customHeight="false" outlineLevel="0" collapsed="false">
      <c r="B1072" s="21"/>
      <c r="C1072" s="16"/>
      <c r="D1072" s="16"/>
      <c r="E1072" s="17"/>
      <c r="F1072" s="22" t="str">
        <f aca="false">IF(D1072="","",IFERROR(INDEX(Setup!$C$8:$C$37,MATCH(D1072,Setup!$B$8:$B$37,0)),"Check category"))</f>
        <v/>
      </c>
      <c r="G1072" s="23" t="str">
        <f aca="false">IF(B1072="","",MONTH(B1072))</f>
        <v/>
      </c>
      <c r="H1072" s="23" t="str">
        <f aca="false">IF(B1072="","",YEAR(B1072))</f>
        <v/>
      </c>
    </row>
    <row r="1073" customFormat="false" ht="15" hidden="false" customHeight="false" outlineLevel="0" collapsed="false">
      <c r="B1073" s="21"/>
      <c r="C1073" s="16"/>
      <c r="D1073" s="16"/>
      <c r="E1073" s="17"/>
      <c r="F1073" s="22" t="str">
        <f aca="false">IF(D1073="","",IFERROR(INDEX(Setup!$C$8:$C$37,MATCH(D1073,Setup!$B$8:$B$37,0)),"Check category"))</f>
        <v/>
      </c>
      <c r="G1073" s="23" t="str">
        <f aca="false">IF(B1073="","",MONTH(B1073))</f>
        <v/>
      </c>
      <c r="H1073" s="23" t="str">
        <f aca="false">IF(B1073="","",YEAR(B1073))</f>
        <v/>
      </c>
    </row>
    <row r="1074" customFormat="false" ht="15" hidden="false" customHeight="false" outlineLevel="0" collapsed="false">
      <c r="B1074" s="21"/>
      <c r="C1074" s="16"/>
      <c r="D1074" s="16"/>
      <c r="E1074" s="17"/>
      <c r="F1074" s="22" t="str">
        <f aca="false">IF(D1074="","",IFERROR(INDEX(Setup!$C$8:$C$37,MATCH(D1074,Setup!$B$8:$B$37,0)),"Check category"))</f>
        <v/>
      </c>
      <c r="G1074" s="23" t="str">
        <f aca="false">IF(B1074="","",MONTH(B1074))</f>
        <v/>
      </c>
      <c r="H1074" s="23" t="str">
        <f aca="false">IF(B1074="","",YEAR(B1074))</f>
        <v/>
      </c>
    </row>
    <row r="1075" customFormat="false" ht="15" hidden="false" customHeight="false" outlineLevel="0" collapsed="false">
      <c r="B1075" s="21"/>
      <c r="C1075" s="16"/>
      <c r="D1075" s="16"/>
      <c r="E1075" s="17"/>
      <c r="F1075" s="22" t="str">
        <f aca="false">IF(D1075="","",IFERROR(INDEX(Setup!$C$8:$C$37,MATCH(D1075,Setup!$B$8:$B$37,0)),"Check category"))</f>
        <v/>
      </c>
      <c r="G1075" s="23" t="str">
        <f aca="false">IF(B1075="","",MONTH(B1075))</f>
        <v/>
      </c>
      <c r="H1075" s="23" t="str">
        <f aca="false">IF(B1075="","",YEAR(B1075))</f>
        <v/>
      </c>
    </row>
    <row r="1076" customFormat="false" ht="15" hidden="false" customHeight="false" outlineLevel="0" collapsed="false">
      <c r="B1076" s="21"/>
      <c r="C1076" s="16"/>
      <c r="D1076" s="16"/>
      <c r="E1076" s="17"/>
      <c r="F1076" s="22" t="str">
        <f aca="false">IF(D1076="","",IFERROR(INDEX(Setup!$C$8:$C$37,MATCH(D1076,Setup!$B$8:$B$37,0)),"Check category"))</f>
        <v/>
      </c>
      <c r="G1076" s="23" t="str">
        <f aca="false">IF(B1076="","",MONTH(B1076))</f>
        <v/>
      </c>
      <c r="H1076" s="23" t="str">
        <f aca="false">IF(B1076="","",YEAR(B1076))</f>
        <v/>
      </c>
    </row>
    <row r="1077" customFormat="false" ht="15" hidden="false" customHeight="false" outlineLevel="0" collapsed="false">
      <c r="B1077" s="21"/>
      <c r="C1077" s="16"/>
      <c r="D1077" s="16"/>
      <c r="E1077" s="17"/>
      <c r="F1077" s="22" t="str">
        <f aca="false">IF(D1077="","",IFERROR(INDEX(Setup!$C$8:$C$37,MATCH(D1077,Setup!$B$8:$B$37,0)),"Check category"))</f>
        <v/>
      </c>
      <c r="G1077" s="23" t="str">
        <f aca="false">IF(B1077="","",MONTH(B1077))</f>
        <v/>
      </c>
      <c r="H1077" s="23" t="str">
        <f aca="false">IF(B1077="","",YEAR(B1077))</f>
        <v/>
      </c>
    </row>
    <row r="1078" customFormat="false" ht="15" hidden="false" customHeight="false" outlineLevel="0" collapsed="false">
      <c r="B1078" s="21"/>
      <c r="C1078" s="16"/>
      <c r="D1078" s="16"/>
      <c r="E1078" s="17"/>
      <c r="F1078" s="22" t="str">
        <f aca="false">IF(D1078="","",IFERROR(INDEX(Setup!$C$8:$C$37,MATCH(D1078,Setup!$B$8:$B$37,0)),"Check category"))</f>
        <v/>
      </c>
      <c r="G1078" s="23" t="str">
        <f aca="false">IF(B1078="","",MONTH(B1078))</f>
        <v/>
      </c>
      <c r="H1078" s="23" t="str">
        <f aca="false">IF(B1078="","",YEAR(B1078))</f>
        <v/>
      </c>
    </row>
    <row r="1079" customFormat="false" ht="15" hidden="false" customHeight="false" outlineLevel="0" collapsed="false">
      <c r="B1079" s="21"/>
      <c r="C1079" s="16"/>
      <c r="D1079" s="16"/>
      <c r="E1079" s="17"/>
      <c r="F1079" s="22" t="str">
        <f aca="false">IF(D1079="","",IFERROR(INDEX(Setup!$C$8:$C$37,MATCH(D1079,Setup!$B$8:$B$37,0)),"Check category"))</f>
        <v/>
      </c>
      <c r="G1079" s="23" t="str">
        <f aca="false">IF(B1079="","",MONTH(B1079))</f>
        <v/>
      </c>
      <c r="H1079" s="23" t="str">
        <f aca="false">IF(B1079="","",YEAR(B1079))</f>
        <v/>
      </c>
    </row>
    <row r="1080" customFormat="false" ht="15" hidden="false" customHeight="false" outlineLevel="0" collapsed="false">
      <c r="B1080" s="21"/>
      <c r="C1080" s="16"/>
      <c r="D1080" s="16"/>
      <c r="E1080" s="17"/>
      <c r="F1080" s="22" t="str">
        <f aca="false">IF(D1080="","",IFERROR(INDEX(Setup!$C$8:$C$37,MATCH(D1080,Setup!$B$8:$B$37,0)),"Check category"))</f>
        <v/>
      </c>
      <c r="G1080" s="23" t="str">
        <f aca="false">IF(B1080="","",MONTH(B1080))</f>
        <v/>
      </c>
      <c r="H1080" s="23" t="str">
        <f aca="false">IF(B1080="","",YEAR(B1080))</f>
        <v/>
      </c>
    </row>
    <row r="1081" customFormat="false" ht="15" hidden="false" customHeight="false" outlineLevel="0" collapsed="false">
      <c r="B1081" s="21"/>
      <c r="C1081" s="16"/>
      <c r="D1081" s="16"/>
      <c r="E1081" s="17"/>
      <c r="F1081" s="22" t="str">
        <f aca="false">IF(D1081="","",IFERROR(INDEX(Setup!$C$8:$C$37,MATCH(D1081,Setup!$B$8:$B$37,0)),"Check category"))</f>
        <v/>
      </c>
      <c r="G1081" s="23" t="str">
        <f aca="false">IF(B1081="","",MONTH(B1081))</f>
        <v/>
      </c>
      <c r="H1081" s="23" t="str">
        <f aca="false">IF(B1081="","",YEAR(B1081))</f>
        <v/>
      </c>
    </row>
    <row r="1082" customFormat="false" ht="15" hidden="false" customHeight="false" outlineLevel="0" collapsed="false">
      <c r="B1082" s="21"/>
      <c r="C1082" s="16"/>
      <c r="D1082" s="16"/>
      <c r="E1082" s="17"/>
      <c r="F1082" s="22" t="str">
        <f aca="false">IF(D1082="","",IFERROR(INDEX(Setup!$C$8:$C$37,MATCH(D1082,Setup!$B$8:$B$37,0)),"Check category"))</f>
        <v/>
      </c>
      <c r="G1082" s="23" t="str">
        <f aca="false">IF(B1082="","",MONTH(B1082))</f>
        <v/>
      </c>
      <c r="H1082" s="23" t="str">
        <f aca="false">IF(B1082="","",YEAR(B1082))</f>
        <v/>
      </c>
    </row>
    <row r="1083" customFormat="false" ht="15" hidden="false" customHeight="false" outlineLevel="0" collapsed="false">
      <c r="B1083" s="21"/>
      <c r="C1083" s="16"/>
      <c r="D1083" s="16"/>
      <c r="E1083" s="17"/>
      <c r="F1083" s="22" t="str">
        <f aca="false">IF(D1083="","",IFERROR(INDEX(Setup!$C$8:$C$37,MATCH(D1083,Setup!$B$8:$B$37,0)),"Check category"))</f>
        <v/>
      </c>
      <c r="G1083" s="23" t="str">
        <f aca="false">IF(B1083="","",MONTH(B1083))</f>
        <v/>
      </c>
      <c r="H1083" s="23" t="str">
        <f aca="false">IF(B1083="","",YEAR(B1083))</f>
        <v/>
      </c>
    </row>
    <row r="1084" customFormat="false" ht="15" hidden="false" customHeight="false" outlineLevel="0" collapsed="false">
      <c r="B1084" s="21"/>
      <c r="C1084" s="16"/>
      <c r="D1084" s="16"/>
      <c r="E1084" s="17"/>
      <c r="F1084" s="22" t="str">
        <f aca="false">IF(D1084="","",IFERROR(INDEX(Setup!$C$8:$C$37,MATCH(D1084,Setup!$B$8:$B$37,0)),"Check category"))</f>
        <v/>
      </c>
      <c r="G1084" s="23" t="str">
        <f aca="false">IF(B1084="","",MONTH(B1084))</f>
        <v/>
      </c>
      <c r="H1084" s="23" t="str">
        <f aca="false">IF(B1084="","",YEAR(B1084))</f>
        <v/>
      </c>
    </row>
    <row r="1085" customFormat="false" ht="15" hidden="false" customHeight="false" outlineLevel="0" collapsed="false">
      <c r="B1085" s="21"/>
      <c r="C1085" s="16"/>
      <c r="D1085" s="16"/>
      <c r="E1085" s="17"/>
      <c r="F1085" s="22" t="str">
        <f aca="false">IF(D1085="","",IFERROR(INDEX(Setup!$C$8:$C$37,MATCH(D1085,Setup!$B$8:$B$37,0)),"Check category"))</f>
        <v/>
      </c>
      <c r="G1085" s="23" t="str">
        <f aca="false">IF(B1085="","",MONTH(B1085))</f>
        <v/>
      </c>
      <c r="H1085" s="23" t="str">
        <f aca="false">IF(B1085="","",YEAR(B1085))</f>
        <v/>
      </c>
    </row>
    <row r="1086" customFormat="false" ht="15" hidden="false" customHeight="false" outlineLevel="0" collapsed="false">
      <c r="B1086" s="21"/>
      <c r="C1086" s="16"/>
      <c r="D1086" s="16"/>
      <c r="E1086" s="17"/>
      <c r="F1086" s="22" t="str">
        <f aca="false">IF(D1086="","",IFERROR(INDEX(Setup!$C$8:$C$37,MATCH(D1086,Setup!$B$8:$B$37,0)),"Check category"))</f>
        <v/>
      </c>
      <c r="G1086" s="23" t="str">
        <f aca="false">IF(B1086="","",MONTH(B1086))</f>
        <v/>
      </c>
      <c r="H1086" s="23" t="str">
        <f aca="false">IF(B1086="","",YEAR(B1086))</f>
        <v/>
      </c>
    </row>
    <row r="1087" customFormat="false" ht="15" hidden="false" customHeight="false" outlineLevel="0" collapsed="false">
      <c r="B1087" s="21"/>
      <c r="C1087" s="16"/>
      <c r="D1087" s="16"/>
      <c r="E1087" s="17"/>
      <c r="F1087" s="22" t="str">
        <f aca="false">IF(D1087="","",IFERROR(INDEX(Setup!$C$8:$C$37,MATCH(D1087,Setup!$B$8:$B$37,0)),"Check category"))</f>
        <v/>
      </c>
      <c r="G1087" s="23" t="str">
        <f aca="false">IF(B1087="","",MONTH(B1087))</f>
        <v/>
      </c>
      <c r="H1087" s="23" t="str">
        <f aca="false">IF(B1087="","",YEAR(B1087))</f>
        <v/>
      </c>
    </row>
    <row r="1088" customFormat="false" ht="15" hidden="false" customHeight="false" outlineLevel="0" collapsed="false">
      <c r="B1088" s="21"/>
      <c r="C1088" s="16"/>
      <c r="D1088" s="16"/>
      <c r="E1088" s="17"/>
      <c r="F1088" s="22" t="str">
        <f aca="false">IF(D1088="","",IFERROR(INDEX(Setup!$C$8:$C$37,MATCH(D1088,Setup!$B$8:$B$37,0)),"Check category"))</f>
        <v/>
      </c>
      <c r="G1088" s="23" t="str">
        <f aca="false">IF(B1088="","",MONTH(B1088))</f>
        <v/>
      </c>
      <c r="H1088" s="23" t="str">
        <f aca="false">IF(B1088="","",YEAR(B1088))</f>
        <v/>
      </c>
    </row>
    <row r="1089" customFormat="false" ht="15" hidden="false" customHeight="false" outlineLevel="0" collapsed="false">
      <c r="B1089" s="21"/>
      <c r="C1089" s="16"/>
      <c r="D1089" s="16"/>
      <c r="E1089" s="17"/>
      <c r="F1089" s="22" t="str">
        <f aca="false">IF(D1089="","",IFERROR(INDEX(Setup!$C$8:$C$37,MATCH(D1089,Setup!$B$8:$B$37,0)),"Check category"))</f>
        <v/>
      </c>
      <c r="G1089" s="23" t="str">
        <f aca="false">IF(B1089="","",MONTH(B1089))</f>
        <v/>
      </c>
      <c r="H1089" s="23" t="str">
        <f aca="false">IF(B1089="","",YEAR(B1089))</f>
        <v/>
      </c>
    </row>
    <row r="1090" customFormat="false" ht="15" hidden="false" customHeight="false" outlineLevel="0" collapsed="false">
      <c r="B1090" s="21"/>
      <c r="C1090" s="16"/>
      <c r="D1090" s="16"/>
      <c r="E1090" s="17"/>
      <c r="F1090" s="22" t="str">
        <f aca="false">IF(D1090="","",IFERROR(INDEX(Setup!$C$8:$C$37,MATCH(D1090,Setup!$B$8:$B$37,0)),"Check category"))</f>
        <v/>
      </c>
      <c r="G1090" s="23" t="str">
        <f aca="false">IF(B1090="","",MONTH(B1090))</f>
        <v/>
      </c>
      <c r="H1090" s="23" t="str">
        <f aca="false">IF(B1090="","",YEAR(B1090))</f>
        <v/>
      </c>
    </row>
    <row r="1091" customFormat="false" ht="15" hidden="false" customHeight="false" outlineLevel="0" collapsed="false">
      <c r="B1091" s="21"/>
      <c r="C1091" s="16"/>
      <c r="D1091" s="16"/>
      <c r="E1091" s="17"/>
      <c r="F1091" s="22" t="str">
        <f aca="false">IF(D1091="","",IFERROR(INDEX(Setup!$C$8:$C$37,MATCH(D1091,Setup!$B$8:$B$37,0)),"Check category"))</f>
        <v/>
      </c>
      <c r="G1091" s="23" t="str">
        <f aca="false">IF(B1091="","",MONTH(B1091))</f>
        <v/>
      </c>
      <c r="H1091" s="23" t="str">
        <f aca="false">IF(B1091="","",YEAR(B1091))</f>
        <v/>
      </c>
    </row>
    <row r="1092" customFormat="false" ht="15" hidden="false" customHeight="false" outlineLevel="0" collapsed="false">
      <c r="B1092" s="21"/>
      <c r="C1092" s="16"/>
      <c r="D1092" s="16"/>
      <c r="E1092" s="17"/>
      <c r="F1092" s="22" t="str">
        <f aca="false">IF(D1092="","",IFERROR(INDEX(Setup!$C$8:$C$37,MATCH(D1092,Setup!$B$8:$B$37,0)),"Check category"))</f>
        <v/>
      </c>
      <c r="G1092" s="23" t="str">
        <f aca="false">IF(B1092="","",MONTH(B1092))</f>
        <v/>
      </c>
      <c r="H1092" s="23" t="str">
        <f aca="false">IF(B1092="","",YEAR(B1092))</f>
        <v/>
      </c>
    </row>
    <row r="1093" customFormat="false" ht="15" hidden="false" customHeight="false" outlineLevel="0" collapsed="false">
      <c r="B1093" s="21"/>
      <c r="C1093" s="16"/>
      <c r="D1093" s="16"/>
      <c r="E1093" s="17"/>
      <c r="F1093" s="22" t="str">
        <f aca="false">IF(D1093="","",IFERROR(INDEX(Setup!$C$8:$C$37,MATCH(D1093,Setup!$B$8:$B$37,0)),"Check category"))</f>
        <v/>
      </c>
      <c r="G1093" s="23" t="str">
        <f aca="false">IF(B1093="","",MONTH(B1093))</f>
        <v/>
      </c>
      <c r="H1093" s="23" t="str">
        <f aca="false">IF(B1093="","",YEAR(B1093))</f>
        <v/>
      </c>
    </row>
    <row r="1094" customFormat="false" ht="15" hidden="false" customHeight="false" outlineLevel="0" collapsed="false">
      <c r="B1094" s="21"/>
      <c r="C1094" s="16"/>
      <c r="D1094" s="16"/>
      <c r="E1094" s="17"/>
      <c r="F1094" s="22" t="str">
        <f aca="false">IF(D1094="","",IFERROR(INDEX(Setup!$C$8:$C$37,MATCH(D1094,Setup!$B$8:$B$37,0)),"Check category"))</f>
        <v/>
      </c>
      <c r="G1094" s="23" t="str">
        <f aca="false">IF(B1094="","",MONTH(B1094))</f>
        <v/>
      </c>
      <c r="H1094" s="23" t="str">
        <f aca="false">IF(B1094="","",YEAR(B1094))</f>
        <v/>
      </c>
    </row>
    <row r="1095" customFormat="false" ht="15" hidden="false" customHeight="false" outlineLevel="0" collapsed="false">
      <c r="B1095" s="21"/>
      <c r="C1095" s="16"/>
      <c r="D1095" s="16"/>
      <c r="E1095" s="17"/>
      <c r="F1095" s="22" t="str">
        <f aca="false">IF(D1095="","",IFERROR(INDEX(Setup!$C$8:$C$37,MATCH(D1095,Setup!$B$8:$B$37,0)),"Check category"))</f>
        <v/>
      </c>
      <c r="G1095" s="23" t="str">
        <f aca="false">IF(B1095="","",MONTH(B1095))</f>
        <v/>
      </c>
      <c r="H1095" s="23" t="str">
        <f aca="false">IF(B1095="","",YEAR(B1095))</f>
        <v/>
      </c>
    </row>
    <row r="1096" customFormat="false" ht="15" hidden="false" customHeight="false" outlineLevel="0" collapsed="false">
      <c r="B1096" s="21"/>
      <c r="C1096" s="16"/>
      <c r="D1096" s="16"/>
      <c r="E1096" s="17"/>
      <c r="F1096" s="22" t="str">
        <f aca="false">IF(D1096="","",IFERROR(INDEX(Setup!$C$8:$C$37,MATCH(D1096,Setup!$B$8:$B$37,0)),"Check category"))</f>
        <v/>
      </c>
      <c r="G1096" s="23" t="str">
        <f aca="false">IF(B1096="","",MONTH(B1096))</f>
        <v/>
      </c>
      <c r="H1096" s="23" t="str">
        <f aca="false">IF(B1096="","",YEAR(B1096))</f>
        <v/>
      </c>
    </row>
    <row r="1097" customFormat="false" ht="15" hidden="false" customHeight="false" outlineLevel="0" collapsed="false">
      <c r="B1097" s="21"/>
      <c r="C1097" s="16"/>
      <c r="D1097" s="16"/>
      <c r="E1097" s="17"/>
      <c r="F1097" s="22" t="str">
        <f aca="false">IF(D1097="","",IFERROR(INDEX(Setup!$C$8:$C$37,MATCH(D1097,Setup!$B$8:$B$37,0)),"Check category"))</f>
        <v/>
      </c>
      <c r="G1097" s="23" t="str">
        <f aca="false">IF(B1097="","",MONTH(B1097))</f>
        <v/>
      </c>
      <c r="H1097" s="23" t="str">
        <f aca="false">IF(B1097="","",YEAR(B1097))</f>
        <v/>
      </c>
    </row>
    <row r="1098" customFormat="false" ht="15" hidden="false" customHeight="false" outlineLevel="0" collapsed="false">
      <c r="B1098" s="21"/>
      <c r="C1098" s="16"/>
      <c r="D1098" s="16"/>
      <c r="E1098" s="17"/>
      <c r="F1098" s="22" t="str">
        <f aca="false">IF(D1098="","",IFERROR(INDEX(Setup!$C$8:$C$37,MATCH(D1098,Setup!$B$8:$B$37,0)),"Check category"))</f>
        <v/>
      </c>
      <c r="G1098" s="23" t="str">
        <f aca="false">IF(B1098="","",MONTH(B1098))</f>
        <v/>
      </c>
      <c r="H1098" s="23" t="str">
        <f aca="false">IF(B1098="","",YEAR(B1098))</f>
        <v/>
      </c>
    </row>
    <row r="1099" customFormat="false" ht="15" hidden="false" customHeight="false" outlineLevel="0" collapsed="false">
      <c r="B1099" s="21"/>
      <c r="C1099" s="16"/>
      <c r="D1099" s="16"/>
      <c r="E1099" s="17"/>
      <c r="F1099" s="22" t="str">
        <f aca="false">IF(D1099="","",IFERROR(INDEX(Setup!$C$8:$C$37,MATCH(D1099,Setup!$B$8:$B$37,0)),"Check category"))</f>
        <v/>
      </c>
      <c r="G1099" s="23" t="str">
        <f aca="false">IF(B1099="","",MONTH(B1099))</f>
        <v/>
      </c>
      <c r="H1099" s="23" t="str">
        <f aca="false">IF(B1099="","",YEAR(B1099))</f>
        <v/>
      </c>
    </row>
    <row r="1100" customFormat="false" ht="15" hidden="false" customHeight="false" outlineLevel="0" collapsed="false">
      <c r="B1100" s="21"/>
      <c r="C1100" s="16"/>
      <c r="D1100" s="16"/>
      <c r="E1100" s="17"/>
      <c r="F1100" s="22" t="str">
        <f aca="false">IF(D1100="","",IFERROR(INDEX(Setup!$C$8:$C$37,MATCH(D1100,Setup!$B$8:$B$37,0)),"Check category"))</f>
        <v/>
      </c>
      <c r="G1100" s="23" t="str">
        <f aca="false">IF(B1100="","",MONTH(B1100))</f>
        <v/>
      </c>
      <c r="H1100" s="23" t="str">
        <f aca="false">IF(B1100="","",YEAR(B1100))</f>
        <v/>
      </c>
    </row>
    <row r="1101" customFormat="false" ht="15" hidden="false" customHeight="false" outlineLevel="0" collapsed="false">
      <c r="B1101" s="21"/>
      <c r="C1101" s="16"/>
      <c r="D1101" s="16"/>
      <c r="E1101" s="17"/>
      <c r="F1101" s="22" t="str">
        <f aca="false">IF(D1101="","",IFERROR(INDEX(Setup!$C$8:$C$37,MATCH(D1101,Setup!$B$8:$B$37,0)),"Check category"))</f>
        <v/>
      </c>
      <c r="G1101" s="23" t="str">
        <f aca="false">IF(B1101="","",MONTH(B1101))</f>
        <v/>
      </c>
      <c r="H1101" s="23" t="str">
        <f aca="false">IF(B1101="","",YEAR(B1101))</f>
        <v/>
      </c>
    </row>
    <row r="1102" customFormat="false" ht="15" hidden="false" customHeight="false" outlineLevel="0" collapsed="false">
      <c r="B1102" s="21"/>
      <c r="C1102" s="16"/>
      <c r="D1102" s="16"/>
      <c r="E1102" s="17"/>
      <c r="F1102" s="22" t="str">
        <f aca="false">IF(D1102="","",IFERROR(INDEX(Setup!$C$8:$C$37,MATCH(D1102,Setup!$B$8:$B$37,0)),"Check category"))</f>
        <v/>
      </c>
      <c r="G1102" s="23" t="str">
        <f aca="false">IF(B1102="","",MONTH(B1102))</f>
        <v/>
      </c>
      <c r="H1102" s="23" t="str">
        <f aca="false">IF(B1102="","",YEAR(B1102))</f>
        <v/>
      </c>
    </row>
    <row r="1103" customFormat="false" ht="15" hidden="false" customHeight="false" outlineLevel="0" collapsed="false">
      <c r="B1103" s="21"/>
      <c r="C1103" s="16"/>
      <c r="D1103" s="16"/>
      <c r="E1103" s="17"/>
      <c r="F1103" s="22" t="str">
        <f aca="false">IF(D1103="","",IFERROR(INDEX(Setup!$C$8:$C$37,MATCH(D1103,Setup!$B$8:$B$37,0)),"Check category"))</f>
        <v/>
      </c>
      <c r="G1103" s="23" t="str">
        <f aca="false">IF(B1103="","",MONTH(B1103))</f>
        <v/>
      </c>
      <c r="H1103" s="23" t="str">
        <f aca="false">IF(B1103="","",YEAR(B1103))</f>
        <v/>
      </c>
    </row>
    <row r="1104" customFormat="false" ht="15" hidden="false" customHeight="false" outlineLevel="0" collapsed="false">
      <c r="B1104" s="21"/>
      <c r="C1104" s="16"/>
      <c r="D1104" s="16"/>
      <c r="E1104" s="17"/>
      <c r="F1104" s="22" t="str">
        <f aca="false">IF(D1104="","",IFERROR(INDEX(Setup!$C$8:$C$37,MATCH(D1104,Setup!$B$8:$B$37,0)),"Check category"))</f>
        <v/>
      </c>
      <c r="G1104" s="23" t="str">
        <f aca="false">IF(B1104="","",MONTH(B1104))</f>
        <v/>
      </c>
      <c r="H1104" s="23" t="str">
        <f aca="false">IF(B1104="","",YEAR(B1104))</f>
        <v/>
      </c>
    </row>
    <row r="1105" customFormat="false" ht="15" hidden="false" customHeight="false" outlineLevel="0" collapsed="false">
      <c r="B1105" s="21"/>
      <c r="C1105" s="16"/>
      <c r="D1105" s="16"/>
      <c r="E1105" s="17"/>
      <c r="F1105" s="22" t="str">
        <f aca="false">IF(D1105="","",IFERROR(INDEX(Setup!$C$8:$C$37,MATCH(D1105,Setup!$B$8:$B$37,0)),"Check category"))</f>
        <v/>
      </c>
      <c r="G1105" s="23" t="str">
        <f aca="false">IF(B1105="","",MONTH(B1105))</f>
        <v/>
      </c>
      <c r="H1105" s="23" t="str">
        <f aca="false">IF(B1105="","",YEAR(B1105))</f>
        <v/>
      </c>
    </row>
    <row r="1106" customFormat="false" ht="15" hidden="false" customHeight="false" outlineLevel="0" collapsed="false">
      <c r="B1106" s="21"/>
      <c r="C1106" s="16"/>
      <c r="D1106" s="16"/>
      <c r="E1106" s="17"/>
      <c r="F1106" s="22" t="str">
        <f aca="false">IF(D1106="","",IFERROR(INDEX(Setup!$C$8:$C$37,MATCH(D1106,Setup!$B$8:$B$37,0)),"Check category"))</f>
        <v/>
      </c>
      <c r="G1106" s="23" t="str">
        <f aca="false">IF(B1106="","",MONTH(B1106))</f>
        <v/>
      </c>
      <c r="H1106" s="23" t="str">
        <f aca="false">IF(B1106="","",YEAR(B1106))</f>
        <v/>
      </c>
    </row>
    <row r="1107" customFormat="false" ht="15" hidden="false" customHeight="false" outlineLevel="0" collapsed="false">
      <c r="B1107" s="21"/>
      <c r="C1107" s="16"/>
      <c r="D1107" s="16"/>
      <c r="E1107" s="17"/>
      <c r="F1107" s="22" t="str">
        <f aca="false">IF(D1107="","",IFERROR(INDEX(Setup!$C$8:$C$37,MATCH(D1107,Setup!$B$8:$B$37,0)),"Check category"))</f>
        <v/>
      </c>
      <c r="G1107" s="23" t="str">
        <f aca="false">IF(B1107="","",MONTH(B1107))</f>
        <v/>
      </c>
      <c r="H1107" s="23" t="str">
        <f aca="false">IF(B1107="","",YEAR(B1107))</f>
        <v/>
      </c>
    </row>
    <row r="1108" customFormat="false" ht="15" hidden="false" customHeight="false" outlineLevel="0" collapsed="false">
      <c r="B1108" s="21"/>
      <c r="C1108" s="16"/>
      <c r="D1108" s="16"/>
      <c r="E1108" s="17"/>
      <c r="F1108" s="22" t="str">
        <f aca="false">IF(D1108="","",IFERROR(INDEX(Setup!$C$8:$C$37,MATCH(D1108,Setup!$B$8:$B$37,0)),"Check category"))</f>
        <v/>
      </c>
      <c r="G1108" s="23" t="str">
        <f aca="false">IF(B1108="","",MONTH(B1108))</f>
        <v/>
      </c>
      <c r="H1108" s="23" t="str">
        <f aca="false">IF(B1108="","",YEAR(B1108))</f>
        <v/>
      </c>
    </row>
    <row r="1109" customFormat="false" ht="15" hidden="false" customHeight="false" outlineLevel="0" collapsed="false">
      <c r="B1109" s="21"/>
      <c r="C1109" s="16"/>
      <c r="D1109" s="16"/>
      <c r="E1109" s="17"/>
      <c r="F1109" s="22" t="str">
        <f aca="false">IF(D1109="","",IFERROR(INDEX(Setup!$C$8:$C$37,MATCH(D1109,Setup!$B$8:$B$37,0)),"Check category"))</f>
        <v/>
      </c>
      <c r="G1109" s="23" t="str">
        <f aca="false">IF(B1109="","",MONTH(B1109))</f>
        <v/>
      </c>
      <c r="H1109" s="23" t="str">
        <f aca="false">IF(B1109="","",YEAR(B1109))</f>
        <v/>
      </c>
    </row>
    <row r="1110" customFormat="false" ht="15" hidden="false" customHeight="false" outlineLevel="0" collapsed="false">
      <c r="B1110" s="21"/>
      <c r="C1110" s="16"/>
      <c r="D1110" s="16"/>
      <c r="E1110" s="17"/>
      <c r="F1110" s="22" t="str">
        <f aca="false">IF(D1110="","",IFERROR(INDEX(Setup!$C$8:$C$37,MATCH(D1110,Setup!$B$8:$B$37,0)),"Check category"))</f>
        <v/>
      </c>
      <c r="G1110" s="23" t="str">
        <f aca="false">IF(B1110="","",MONTH(B1110))</f>
        <v/>
      </c>
      <c r="H1110" s="23" t="str">
        <f aca="false">IF(B1110="","",YEAR(B1110))</f>
        <v/>
      </c>
    </row>
    <row r="1111" customFormat="false" ht="15" hidden="false" customHeight="false" outlineLevel="0" collapsed="false">
      <c r="B1111" s="21"/>
      <c r="C1111" s="16"/>
      <c r="D1111" s="16"/>
      <c r="E1111" s="17"/>
      <c r="F1111" s="22" t="str">
        <f aca="false">IF(D1111="","",IFERROR(INDEX(Setup!$C$8:$C$37,MATCH(D1111,Setup!$B$8:$B$37,0)),"Check category"))</f>
        <v/>
      </c>
      <c r="G1111" s="23" t="str">
        <f aca="false">IF(B1111="","",MONTH(B1111))</f>
        <v/>
      </c>
      <c r="H1111" s="23" t="str">
        <f aca="false">IF(B1111="","",YEAR(B1111))</f>
        <v/>
      </c>
    </row>
    <row r="1112" customFormat="false" ht="15" hidden="false" customHeight="false" outlineLevel="0" collapsed="false">
      <c r="B1112" s="21"/>
      <c r="C1112" s="16"/>
      <c r="D1112" s="16"/>
      <c r="E1112" s="17"/>
      <c r="F1112" s="22" t="str">
        <f aca="false">IF(D1112="","",IFERROR(INDEX(Setup!$C$8:$C$37,MATCH(D1112,Setup!$B$8:$B$37,0)),"Check category"))</f>
        <v/>
      </c>
      <c r="G1112" s="23" t="str">
        <f aca="false">IF(B1112="","",MONTH(B1112))</f>
        <v/>
      </c>
      <c r="H1112" s="23" t="str">
        <f aca="false">IF(B1112="","",YEAR(B1112))</f>
        <v/>
      </c>
    </row>
    <row r="1113" customFormat="false" ht="15" hidden="false" customHeight="false" outlineLevel="0" collapsed="false">
      <c r="B1113" s="21"/>
      <c r="C1113" s="16"/>
      <c r="D1113" s="16"/>
      <c r="E1113" s="17"/>
      <c r="F1113" s="22" t="str">
        <f aca="false">IF(D1113="","",IFERROR(INDEX(Setup!$C$8:$C$37,MATCH(D1113,Setup!$B$8:$B$37,0)),"Check category"))</f>
        <v/>
      </c>
      <c r="G1113" s="23" t="str">
        <f aca="false">IF(B1113="","",MONTH(B1113))</f>
        <v/>
      </c>
      <c r="H1113" s="23" t="str">
        <f aca="false">IF(B1113="","",YEAR(B1113))</f>
        <v/>
      </c>
    </row>
    <row r="1114" customFormat="false" ht="15" hidden="false" customHeight="false" outlineLevel="0" collapsed="false">
      <c r="B1114" s="21"/>
      <c r="C1114" s="16"/>
      <c r="D1114" s="16"/>
      <c r="E1114" s="17"/>
      <c r="F1114" s="22" t="str">
        <f aca="false">IF(D1114="","",IFERROR(INDEX(Setup!$C$8:$C$37,MATCH(D1114,Setup!$B$8:$B$37,0)),"Check category"))</f>
        <v/>
      </c>
      <c r="G1114" s="23" t="str">
        <f aca="false">IF(B1114="","",MONTH(B1114))</f>
        <v/>
      </c>
      <c r="H1114" s="23" t="str">
        <f aca="false">IF(B1114="","",YEAR(B1114))</f>
        <v/>
      </c>
    </row>
    <row r="1115" customFormat="false" ht="15" hidden="false" customHeight="false" outlineLevel="0" collapsed="false">
      <c r="B1115" s="21"/>
      <c r="C1115" s="16"/>
      <c r="D1115" s="16"/>
      <c r="E1115" s="17"/>
      <c r="F1115" s="22" t="str">
        <f aca="false">IF(D1115="","",IFERROR(INDEX(Setup!$C$8:$C$37,MATCH(D1115,Setup!$B$8:$B$37,0)),"Check category"))</f>
        <v/>
      </c>
      <c r="G1115" s="23" t="str">
        <f aca="false">IF(B1115="","",MONTH(B1115))</f>
        <v/>
      </c>
      <c r="H1115" s="23" t="str">
        <f aca="false">IF(B1115="","",YEAR(B1115))</f>
        <v/>
      </c>
    </row>
    <row r="1116" customFormat="false" ht="15" hidden="false" customHeight="false" outlineLevel="0" collapsed="false">
      <c r="B1116" s="21"/>
      <c r="C1116" s="16"/>
      <c r="D1116" s="16"/>
      <c r="E1116" s="17"/>
      <c r="F1116" s="22" t="str">
        <f aca="false">IF(D1116="","",IFERROR(INDEX(Setup!$C$8:$C$37,MATCH(D1116,Setup!$B$8:$B$37,0)),"Check category"))</f>
        <v/>
      </c>
      <c r="G1116" s="23" t="str">
        <f aca="false">IF(B1116="","",MONTH(B1116))</f>
        <v/>
      </c>
      <c r="H1116" s="23" t="str">
        <f aca="false">IF(B1116="","",YEAR(B1116))</f>
        <v/>
      </c>
    </row>
    <row r="1117" customFormat="false" ht="15" hidden="false" customHeight="false" outlineLevel="0" collapsed="false">
      <c r="B1117" s="21"/>
      <c r="C1117" s="16"/>
      <c r="D1117" s="16"/>
      <c r="E1117" s="17"/>
      <c r="F1117" s="22" t="str">
        <f aca="false">IF(D1117="","",IFERROR(INDEX(Setup!$C$8:$C$37,MATCH(D1117,Setup!$B$8:$B$37,0)),"Check category"))</f>
        <v/>
      </c>
      <c r="G1117" s="23" t="str">
        <f aca="false">IF(B1117="","",MONTH(B1117))</f>
        <v/>
      </c>
      <c r="H1117" s="23" t="str">
        <f aca="false">IF(B1117="","",YEAR(B1117))</f>
        <v/>
      </c>
    </row>
    <row r="1118" customFormat="false" ht="15" hidden="false" customHeight="false" outlineLevel="0" collapsed="false">
      <c r="B1118" s="21"/>
      <c r="C1118" s="16"/>
      <c r="D1118" s="16"/>
      <c r="E1118" s="17"/>
      <c r="F1118" s="22" t="str">
        <f aca="false">IF(D1118="","",IFERROR(INDEX(Setup!$C$8:$C$37,MATCH(D1118,Setup!$B$8:$B$37,0)),"Check category"))</f>
        <v/>
      </c>
      <c r="G1118" s="23" t="str">
        <f aca="false">IF(B1118="","",MONTH(B1118))</f>
        <v/>
      </c>
      <c r="H1118" s="23" t="str">
        <f aca="false">IF(B1118="","",YEAR(B1118))</f>
        <v/>
      </c>
    </row>
    <row r="1119" customFormat="false" ht="15" hidden="false" customHeight="false" outlineLevel="0" collapsed="false">
      <c r="B1119" s="21"/>
      <c r="C1119" s="16"/>
      <c r="D1119" s="16"/>
      <c r="E1119" s="17"/>
      <c r="F1119" s="22" t="str">
        <f aca="false">IF(D1119="","",IFERROR(INDEX(Setup!$C$8:$C$37,MATCH(D1119,Setup!$B$8:$B$37,0)),"Check category"))</f>
        <v/>
      </c>
      <c r="G1119" s="23" t="str">
        <f aca="false">IF(B1119="","",MONTH(B1119))</f>
        <v/>
      </c>
      <c r="H1119" s="23" t="str">
        <f aca="false">IF(B1119="","",YEAR(B1119))</f>
        <v/>
      </c>
    </row>
    <row r="1120" customFormat="false" ht="15" hidden="false" customHeight="false" outlineLevel="0" collapsed="false">
      <c r="B1120" s="21"/>
      <c r="C1120" s="16"/>
      <c r="D1120" s="16"/>
      <c r="E1120" s="17"/>
      <c r="F1120" s="22" t="str">
        <f aca="false">IF(D1120="","",IFERROR(INDEX(Setup!$C$8:$C$37,MATCH(D1120,Setup!$B$8:$B$37,0)),"Check category"))</f>
        <v/>
      </c>
      <c r="G1120" s="23" t="str">
        <f aca="false">IF(B1120="","",MONTH(B1120))</f>
        <v/>
      </c>
      <c r="H1120" s="23" t="str">
        <f aca="false">IF(B1120="","",YEAR(B1120))</f>
        <v/>
      </c>
    </row>
    <row r="1121" customFormat="false" ht="15" hidden="false" customHeight="false" outlineLevel="0" collapsed="false">
      <c r="B1121" s="21"/>
      <c r="C1121" s="16"/>
      <c r="D1121" s="16"/>
      <c r="E1121" s="17"/>
      <c r="F1121" s="22" t="str">
        <f aca="false">IF(D1121="","",IFERROR(INDEX(Setup!$C$8:$C$37,MATCH(D1121,Setup!$B$8:$B$37,0)),"Check category"))</f>
        <v/>
      </c>
      <c r="G1121" s="23" t="str">
        <f aca="false">IF(B1121="","",MONTH(B1121))</f>
        <v/>
      </c>
      <c r="H1121" s="23" t="str">
        <f aca="false">IF(B1121="","",YEAR(B1121))</f>
        <v/>
      </c>
    </row>
    <row r="1122" customFormat="false" ht="15" hidden="false" customHeight="false" outlineLevel="0" collapsed="false">
      <c r="B1122" s="21"/>
      <c r="C1122" s="16"/>
      <c r="D1122" s="16"/>
      <c r="E1122" s="17"/>
      <c r="F1122" s="22" t="str">
        <f aca="false">IF(D1122="","",IFERROR(INDEX(Setup!$C$8:$C$37,MATCH(D1122,Setup!$B$8:$B$37,0)),"Check category"))</f>
        <v/>
      </c>
      <c r="G1122" s="23" t="str">
        <f aca="false">IF(B1122="","",MONTH(B1122))</f>
        <v/>
      </c>
      <c r="H1122" s="23" t="str">
        <f aca="false">IF(B1122="","",YEAR(B1122))</f>
        <v/>
      </c>
    </row>
    <row r="1123" customFormat="false" ht="15" hidden="false" customHeight="false" outlineLevel="0" collapsed="false">
      <c r="B1123" s="21"/>
      <c r="C1123" s="16"/>
      <c r="D1123" s="16"/>
      <c r="E1123" s="17"/>
      <c r="F1123" s="22" t="str">
        <f aca="false">IF(D1123="","",IFERROR(INDEX(Setup!$C$8:$C$37,MATCH(D1123,Setup!$B$8:$B$37,0)),"Check category"))</f>
        <v/>
      </c>
      <c r="G1123" s="23" t="str">
        <f aca="false">IF(B1123="","",MONTH(B1123))</f>
        <v/>
      </c>
      <c r="H1123" s="23" t="str">
        <f aca="false">IF(B1123="","",YEAR(B1123))</f>
        <v/>
      </c>
    </row>
    <row r="1124" customFormat="false" ht="15" hidden="false" customHeight="false" outlineLevel="0" collapsed="false">
      <c r="B1124" s="21"/>
      <c r="C1124" s="16"/>
      <c r="D1124" s="16"/>
      <c r="E1124" s="17"/>
      <c r="F1124" s="22" t="str">
        <f aca="false">IF(D1124="","",IFERROR(INDEX(Setup!$C$8:$C$37,MATCH(D1124,Setup!$B$8:$B$37,0)),"Check category"))</f>
        <v/>
      </c>
      <c r="G1124" s="23" t="str">
        <f aca="false">IF(B1124="","",MONTH(B1124))</f>
        <v/>
      </c>
      <c r="H1124" s="23" t="str">
        <f aca="false">IF(B1124="","",YEAR(B1124))</f>
        <v/>
      </c>
    </row>
    <row r="1125" customFormat="false" ht="15" hidden="false" customHeight="false" outlineLevel="0" collapsed="false">
      <c r="B1125" s="21"/>
      <c r="C1125" s="16"/>
      <c r="D1125" s="16"/>
      <c r="E1125" s="17"/>
      <c r="F1125" s="22" t="str">
        <f aca="false">IF(D1125="","",IFERROR(INDEX(Setup!$C$8:$C$37,MATCH(D1125,Setup!$B$8:$B$37,0)),"Check category"))</f>
        <v/>
      </c>
      <c r="G1125" s="23" t="str">
        <f aca="false">IF(B1125="","",MONTH(B1125))</f>
        <v/>
      </c>
      <c r="H1125" s="23" t="str">
        <f aca="false">IF(B1125="","",YEAR(B1125))</f>
        <v/>
      </c>
    </row>
    <row r="1126" customFormat="false" ht="15" hidden="false" customHeight="false" outlineLevel="0" collapsed="false">
      <c r="B1126" s="21"/>
      <c r="C1126" s="16"/>
      <c r="D1126" s="16"/>
      <c r="E1126" s="17"/>
      <c r="F1126" s="22" t="str">
        <f aca="false">IF(D1126="","",IFERROR(INDEX(Setup!$C$8:$C$37,MATCH(D1126,Setup!$B$8:$B$37,0)),"Check category"))</f>
        <v/>
      </c>
      <c r="G1126" s="23" t="str">
        <f aca="false">IF(B1126="","",MONTH(B1126))</f>
        <v/>
      </c>
      <c r="H1126" s="23" t="str">
        <f aca="false">IF(B1126="","",YEAR(B1126))</f>
        <v/>
      </c>
    </row>
    <row r="1127" customFormat="false" ht="15" hidden="false" customHeight="false" outlineLevel="0" collapsed="false">
      <c r="B1127" s="21"/>
      <c r="C1127" s="16"/>
      <c r="D1127" s="16"/>
      <c r="E1127" s="17"/>
      <c r="F1127" s="22" t="str">
        <f aca="false">IF(D1127="","",IFERROR(INDEX(Setup!$C$8:$C$37,MATCH(D1127,Setup!$B$8:$B$37,0)),"Check category"))</f>
        <v/>
      </c>
      <c r="G1127" s="23" t="str">
        <f aca="false">IF(B1127="","",MONTH(B1127))</f>
        <v/>
      </c>
      <c r="H1127" s="23" t="str">
        <f aca="false">IF(B1127="","",YEAR(B1127))</f>
        <v/>
      </c>
    </row>
    <row r="1128" customFormat="false" ht="15" hidden="false" customHeight="false" outlineLevel="0" collapsed="false">
      <c r="B1128" s="21"/>
      <c r="C1128" s="16"/>
      <c r="D1128" s="16"/>
      <c r="E1128" s="17"/>
      <c r="F1128" s="22" t="str">
        <f aca="false">IF(D1128="","",IFERROR(INDEX(Setup!$C$8:$C$37,MATCH(D1128,Setup!$B$8:$B$37,0)),"Check category"))</f>
        <v/>
      </c>
      <c r="G1128" s="23" t="str">
        <f aca="false">IF(B1128="","",MONTH(B1128))</f>
        <v/>
      </c>
      <c r="H1128" s="23" t="str">
        <f aca="false">IF(B1128="","",YEAR(B1128))</f>
        <v/>
      </c>
    </row>
    <row r="1129" customFormat="false" ht="15" hidden="false" customHeight="false" outlineLevel="0" collapsed="false">
      <c r="B1129" s="21"/>
      <c r="C1129" s="16"/>
      <c r="D1129" s="16"/>
      <c r="E1129" s="17"/>
      <c r="F1129" s="22" t="str">
        <f aca="false">IF(D1129="","",IFERROR(INDEX(Setup!$C$8:$C$37,MATCH(D1129,Setup!$B$8:$B$37,0)),"Check category"))</f>
        <v/>
      </c>
      <c r="G1129" s="23" t="str">
        <f aca="false">IF(B1129="","",MONTH(B1129))</f>
        <v/>
      </c>
      <c r="H1129" s="23" t="str">
        <f aca="false">IF(B1129="","",YEAR(B1129))</f>
        <v/>
      </c>
    </row>
    <row r="1130" customFormat="false" ht="15" hidden="false" customHeight="false" outlineLevel="0" collapsed="false">
      <c r="B1130" s="21"/>
      <c r="C1130" s="16"/>
      <c r="D1130" s="16"/>
      <c r="E1130" s="17"/>
      <c r="F1130" s="22" t="str">
        <f aca="false">IF(D1130="","",IFERROR(INDEX(Setup!$C$8:$C$37,MATCH(D1130,Setup!$B$8:$B$37,0)),"Check category"))</f>
        <v/>
      </c>
      <c r="G1130" s="23" t="str">
        <f aca="false">IF(B1130="","",MONTH(B1130))</f>
        <v/>
      </c>
      <c r="H1130" s="23" t="str">
        <f aca="false">IF(B1130="","",YEAR(B1130))</f>
        <v/>
      </c>
    </row>
    <row r="1131" customFormat="false" ht="15" hidden="false" customHeight="false" outlineLevel="0" collapsed="false">
      <c r="B1131" s="21"/>
      <c r="C1131" s="16"/>
      <c r="D1131" s="16"/>
      <c r="E1131" s="17"/>
      <c r="F1131" s="22" t="str">
        <f aca="false">IF(D1131="","",IFERROR(INDEX(Setup!$C$8:$C$37,MATCH(D1131,Setup!$B$8:$B$37,0)),"Check category"))</f>
        <v/>
      </c>
      <c r="G1131" s="23" t="str">
        <f aca="false">IF(B1131="","",MONTH(B1131))</f>
        <v/>
      </c>
      <c r="H1131" s="23" t="str">
        <f aca="false">IF(B1131="","",YEAR(B1131))</f>
        <v/>
      </c>
    </row>
    <row r="1132" customFormat="false" ht="15" hidden="false" customHeight="false" outlineLevel="0" collapsed="false">
      <c r="B1132" s="21"/>
      <c r="C1132" s="16"/>
      <c r="D1132" s="16"/>
      <c r="E1132" s="17"/>
      <c r="F1132" s="22" t="str">
        <f aca="false">IF(D1132="","",IFERROR(INDEX(Setup!$C$8:$C$37,MATCH(D1132,Setup!$B$8:$B$37,0)),"Check category"))</f>
        <v/>
      </c>
      <c r="G1132" s="23" t="str">
        <f aca="false">IF(B1132="","",MONTH(B1132))</f>
        <v/>
      </c>
      <c r="H1132" s="23" t="str">
        <f aca="false">IF(B1132="","",YEAR(B1132))</f>
        <v/>
      </c>
    </row>
    <row r="1133" customFormat="false" ht="15" hidden="false" customHeight="false" outlineLevel="0" collapsed="false">
      <c r="B1133" s="21"/>
      <c r="C1133" s="16"/>
      <c r="D1133" s="16"/>
      <c r="E1133" s="17"/>
      <c r="F1133" s="22" t="str">
        <f aca="false">IF(D1133="","",IFERROR(INDEX(Setup!$C$8:$C$37,MATCH(D1133,Setup!$B$8:$B$37,0)),"Check category"))</f>
        <v/>
      </c>
      <c r="G1133" s="23" t="str">
        <f aca="false">IF(B1133="","",MONTH(B1133))</f>
        <v/>
      </c>
      <c r="H1133" s="23" t="str">
        <f aca="false">IF(B1133="","",YEAR(B1133))</f>
        <v/>
      </c>
    </row>
    <row r="1134" customFormat="false" ht="15" hidden="false" customHeight="false" outlineLevel="0" collapsed="false">
      <c r="B1134" s="21"/>
      <c r="C1134" s="16"/>
      <c r="D1134" s="16"/>
      <c r="E1134" s="17"/>
      <c r="F1134" s="22" t="str">
        <f aca="false">IF(D1134="","",IFERROR(INDEX(Setup!$C$8:$C$37,MATCH(D1134,Setup!$B$8:$B$37,0)),"Check category"))</f>
        <v/>
      </c>
      <c r="G1134" s="23" t="str">
        <f aca="false">IF(B1134="","",MONTH(B1134))</f>
        <v/>
      </c>
      <c r="H1134" s="23" t="str">
        <f aca="false">IF(B1134="","",YEAR(B1134))</f>
        <v/>
      </c>
    </row>
    <row r="1135" customFormat="false" ht="15" hidden="false" customHeight="false" outlineLevel="0" collapsed="false">
      <c r="B1135" s="21"/>
      <c r="C1135" s="16"/>
      <c r="D1135" s="16"/>
      <c r="E1135" s="17"/>
      <c r="F1135" s="22" t="str">
        <f aca="false">IF(D1135="","",IFERROR(INDEX(Setup!$C$8:$C$37,MATCH(D1135,Setup!$B$8:$B$37,0)),"Check category"))</f>
        <v/>
      </c>
      <c r="G1135" s="23" t="str">
        <f aca="false">IF(B1135="","",MONTH(B1135))</f>
        <v/>
      </c>
      <c r="H1135" s="23" t="str">
        <f aca="false">IF(B1135="","",YEAR(B1135))</f>
        <v/>
      </c>
    </row>
    <row r="1136" customFormat="false" ht="15" hidden="false" customHeight="false" outlineLevel="0" collapsed="false">
      <c r="B1136" s="21"/>
      <c r="C1136" s="16"/>
      <c r="D1136" s="16"/>
      <c r="E1136" s="17"/>
      <c r="F1136" s="22" t="str">
        <f aca="false">IF(D1136="","",IFERROR(INDEX(Setup!$C$8:$C$37,MATCH(D1136,Setup!$B$8:$B$37,0)),"Check category"))</f>
        <v/>
      </c>
      <c r="G1136" s="23" t="str">
        <f aca="false">IF(B1136="","",MONTH(B1136))</f>
        <v/>
      </c>
      <c r="H1136" s="23" t="str">
        <f aca="false">IF(B1136="","",YEAR(B1136))</f>
        <v/>
      </c>
    </row>
    <row r="1137" customFormat="false" ht="15" hidden="false" customHeight="false" outlineLevel="0" collapsed="false">
      <c r="B1137" s="21"/>
      <c r="C1137" s="16"/>
      <c r="D1137" s="16"/>
      <c r="E1137" s="17"/>
      <c r="F1137" s="22" t="str">
        <f aca="false">IF(D1137="","",IFERROR(INDEX(Setup!$C$8:$C$37,MATCH(D1137,Setup!$B$8:$B$37,0)),"Check category"))</f>
        <v/>
      </c>
      <c r="G1137" s="23" t="str">
        <f aca="false">IF(B1137="","",MONTH(B1137))</f>
        <v/>
      </c>
      <c r="H1137" s="23" t="str">
        <f aca="false">IF(B1137="","",YEAR(B1137))</f>
        <v/>
      </c>
    </row>
    <row r="1138" customFormat="false" ht="15" hidden="false" customHeight="false" outlineLevel="0" collapsed="false">
      <c r="B1138" s="21"/>
      <c r="C1138" s="16"/>
      <c r="D1138" s="16"/>
      <c r="E1138" s="17"/>
      <c r="F1138" s="22" t="str">
        <f aca="false">IF(D1138="","",IFERROR(INDEX(Setup!$C$8:$C$37,MATCH(D1138,Setup!$B$8:$B$37,0)),"Check category"))</f>
        <v/>
      </c>
      <c r="G1138" s="23" t="str">
        <f aca="false">IF(B1138="","",MONTH(B1138))</f>
        <v/>
      </c>
      <c r="H1138" s="23" t="str">
        <f aca="false">IF(B1138="","",YEAR(B1138))</f>
        <v/>
      </c>
    </row>
    <row r="1139" customFormat="false" ht="15" hidden="false" customHeight="false" outlineLevel="0" collapsed="false">
      <c r="B1139" s="21"/>
      <c r="C1139" s="16"/>
      <c r="D1139" s="16"/>
      <c r="E1139" s="17"/>
      <c r="F1139" s="22" t="str">
        <f aca="false">IF(D1139="","",IFERROR(INDEX(Setup!$C$8:$C$37,MATCH(D1139,Setup!$B$8:$B$37,0)),"Check category"))</f>
        <v/>
      </c>
      <c r="G1139" s="23" t="str">
        <f aca="false">IF(B1139="","",MONTH(B1139))</f>
        <v/>
      </c>
      <c r="H1139" s="23" t="str">
        <f aca="false">IF(B1139="","",YEAR(B1139))</f>
        <v/>
      </c>
    </row>
    <row r="1140" customFormat="false" ht="15" hidden="false" customHeight="false" outlineLevel="0" collapsed="false">
      <c r="B1140" s="21"/>
      <c r="C1140" s="16"/>
      <c r="D1140" s="16"/>
      <c r="E1140" s="17"/>
      <c r="F1140" s="22" t="str">
        <f aca="false">IF(D1140="","",IFERROR(INDEX(Setup!$C$8:$C$37,MATCH(D1140,Setup!$B$8:$B$37,0)),"Check category"))</f>
        <v/>
      </c>
      <c r="G1140" s="23" t="str">
        <f aca="false">IF(B1140="","",MONTH(B1140))</f>
        <v/>
      </c>
      <c r="H1140" s="23" t="str">
        <f aca="false">IF(B1140="","",YEAR(B1140))</f>
        <v/>
      </c>
    </row>
    <row r="1141" customFormat="false" ht="15" hidden="false" customHeight="false" outlineLevel="0" collapsed="false">
      <c r="B1141" s="21"/>
      <c r="C1141" s="16"/>
      <c r="D1141" s="16"/>
      <c r="E1141" s="17"/>
      <c r="F1141" s="22" t="str">
        <f aca="false">IF(D1141="","",IFERROR(INDEX(Setup!$C$8:$C$37,MATCH(D1141,Setup!$B$8:$B$37,0)),"Check category"))</f>
        <v/>
      </c>
      <c r="G1141" s="23" t="str">
        <f aca="false">IF(B1141="","",MONTH(B1141))</f>
        <v/>
      </c>
      <c r="H1141" s="23" t="str">
        <f aca="false">IF(B1141="","",YEAR(B1141))</f>
        <v/>
      </c>
    </row>
    <row r="1142" customFormat="false" ht="15" hidden="false" customHeight="false" outlineLevel="0" collapsed="false">
      <c r="B1142" s="21"/>
      <c r="C1142" s="16"/>
      <c r="D1142" s="16"/>
      <c r="E1142" s="17"/>
      <c r="F1142" s="22" t="str">
        <f aca="false">IF(D1142="","",IFERROR(INDEX(Setup!$C$8:$C$37,MATCH(D1142,Setup!$B$8:$B$37,0)),"Check category"))</f>
        <v/>
      </c>
      <c r="G1142" s="23" t="str">
        <f aca="false">IF(B1142="","",MONTH(B1142))</f>
        <v/>
      </c>
      <c r="H1142" s="23" t="str">
        <f aca="false">IF(B1142="","",YEAR(B1142))</f>
        <v/>
      </c>
    </row>
    <row r="1143" customFormat="false" ht="15" hidden="false" customHeight="false" outlineLevel="0" collapsed="false">
      <c r="B1143" s="21"/>
      <c r="C1143" s="16"/>
      <c r="D1143" s="16"/>
      <c r="E1143" s="17"/>
      <c r="F1143" s="22" t="str">
        <f aca="false">IF(D1143="","",IFERROR(INDEX(Setup!$C$8:$C$37,MATCH(D1143,Setup!$B$8:$B$37,0)),"Check category"))</f>
        <v/>
      </c>
      <c r="G1143" s="23" t="str">
        <f aca="false">IF(B1143="","",MONTH(B1143))</f>
        <v/>
      </c>
      <c r="H1143" s="23" t="str">
        <f aca="false">IF(B1143="","",YEAR(B1143))</f>
        <v/>
      </c>
    </row>
    <row r="1144" customFormat="false" ht="15" hidden="false" customHeight="false" outlineLevel="0" collapsed="false">
      <c r="B1144" s="21"/>
      <c r="C1144" s="16"/>
      <c r="D1144" s="16"/>
      <c r="E1144" s="17"/>
      <c r="F1144" s="22" t="str">
        <f aca="false">IF(D1144="","",IFERROR(INDEX(Setup!$C$8:$C$37,MATCH(D1144,Setup!$B$8:$B$37,0)),"Check category"))</f>
        <v/>
      </c>
      <c r="G1144" s="23" t="str">
        <f aca="false">IF(B1144="","",MONTH(B1144))</f>
        <v/>
      </c>
      <c r="H1144" s="23" t="str">
        <f aca="false">IF(B1144="","",YEAR(B1144))</f>
        <v/>
      </c>
    </row>
    <row r="1145" customFormat="false" ht="15" hidden="false" customHeight="false" outlineLevel="0" collapsed="false">
      <c r="B1145" s="21"/>
      <c r="C1145" s="16"/>
      <c r="D1145" s="16"/>
      <c r="E1145" s="17"/>
      <c r="F1145" s="22" t="str">
        <f aca="false">IF(D1145="","",IFERROR(INDEX(Setup!$C$8:$C$37,MATCH(D1145,Setup!$B$8:$B$37,0)),"Check category"))</f>
        <v/>
      </c>
      <c r="G1145" s="23" t="str">
        <f aca="false">IF(B1145="","",MONTH(B1145))</f>
        <v/>
      </c>
      <c r="H1145" s="23" t="str">
        <f aca="false">IF(B1145="","",YEAR(B1145))</f>
        <v/>
      </c>
    </row>
    <row r="1146" customFormat="false" ht="15" hidden="false" customHeight="false" outlineLevel="0" collapsed="false">
      <c r="B1146" s="21"/>
      <c r="C1146" s="16"/>
      <c r="D1146" s="16"/>
      <c r="E1146" s="17"/>
      <c r="F1146" s="22" t="str">
        <f aca="false">IF(D1146="","",IFERROR(INDEX(Setup!$C$8:$C$37,MATCH(D1146,Setup!$B$8:$B$37,0)),"Check category"))</f>
        <v/>
      </c>
      <c r="G1146" s="23" t="str">
        <f aca="false">IF(B1146="","",MONTH(B1146))</f>
        <v/>
      </c>
      <c r="H1146" s="23" t="str">
        <f aca="false">IF(B1146="","",YEAR(B1146))</f>
        <v/>
      </c>
    </row>
    <row r="1147" customFormat="false" ht="15" hidden="false" customHeight="false" outlineLevel="0" collapsed="false">
      <c r="B1147" s="21"/>
      <c r="C1147" s="16"/>
      <c r="D1147" s="16"/>
      <c r="E1147" s="17"/>
      <c r="F1147" s="22" t="str">
        <f aca="false">IF(D1147="","",IFERROR(INDEX(Setup!$C$8:$C$37,MATCH(D1147,Setup!$B$8:$B$37,0)),"Check category"))</f>
        <v/>
      </c>
      <c r="G1147" s="23" t="str">
        <f aca="false">IF(B1147="","",MONTH(B1147))</f>
        <v/>
      </c>
      <c r="H1147" s="23" t="str">
        <f aca="false">IF(B1147="","",YEAR(B1147))</f>
        <v/>
      </c>
    </row>
    <row r="1148" customFormat="false" ht="15" hidden="false" customHeight="false" outlineLevel="0" collapsed="false">
      <c r="B1148" s="21"/>
      <c r="C1148" s="16"/>
      <c r="D1148" s="16"/>
      <c r="E1148" s="17"/>
      <c r="F1148" s="22" t="str">
        <f aca="false">IF(D1148="","",IFERROR(INDEX(Setup!$C$8:$C$37,MATCH(D1148,Setup!$B$8:$B$37,0)),"Check category"))</f>
        <v/>
      </c>
      <c r="G1148" s="23" t="str">
        <f aca="false">IF(B1148="","",MONTH(B1148))</f>
        <v/>
      </c>
      <c r="H1148" s="23" t="str">
        <f aca="false">IF(B1148="","",YEAR(B1148))</f>
        <v/>
      </c>
    </row>
    <row r="1149" customFormat="false" ht="15" hidden="false" customHeight="false" outlineLevel="0" collapsed="false">
      <c r="B1149" s="21"/>
      <c r="C1149" s="16"/>
      <c r="D1149" s="16"/>
      <c r="E1149" s="17"/>
      <c r="F1149" s="22" t="str">
        <f aca="false">IF(D1149="","",IFERROR(INDEX(Setup!$C$8:$C$37,MATCH(D1149,Setup!$B$8:$B$37,0)),"Check category"))</f>
        <v/>
      </c>
      <c r="G1149" s="23" t="str">
        <f aca="false">IF(B1149="","",MONTH(B1149))</f>
        <v/>
      </c>
      <c r="H1149" s="23" t="str">
        <f aca="false">IF(B1149="","",YEAR(B1149))</f>
        <v/>
      </c>
    </row>
    <row r="1150" customFormat="false" ht="15" hidden="false" customHeight="false" outlineLevel="0" collapsed="false">
      <c r="B1150" s="21"/>
      <c r="C1150" s="16"/>
      <c r="D1150" s="16"/>
      <c r="E1150" s="17"/>
      <c r="F1150" s="22" t="str">
        <f aca="false">IF(D1150="","",IFERROR(INDEX(Setup!$C$8:$C$37,MATCH(D1150,Setup!$B$8:$B$37,0)),"Check category"))</f>
        <v/>
      </c>
      <c r="G1150" s="23" t="str">
        <f aca="false">IF(B1150="","",MONTH(B1150))</f>
        <v/>
      </c>
      <c r="H1150" s="23" t="str">
        <f aca="false">IF(B1150="","",YEAR(B1150))</f>
        <v/>
      </c>
    </row>
    <row r="1151" customFormat="false" ht="15" hidden="false" customHeight="false" outlineLevel="0" collapsed="false">
      <c r="B1151" s="21"/>
      <c r="C1151" s="16"/>
      <c r="D1151" s="16"/>
      <c r="E1151" s="17"/>
      <c r="F1151" s="22" t="str">
        <f aca="false">IF(D1151="","",IFERROR(INDEX(Setup!$C$8:$C$37,MATCH(D1151,Setup!$B$8:$B$37,0)),"Check category"))</f>
        <v/>
      </c>
      <c r="G1151" s="23" t="str">
        <f aca="false">IF(B1151="","",MONTH(B1151))</f>
        <v/>
      </c>
      <c r="H1151" s="23" t="str">
        <f aca="false">IF(B1151="","",YEAR(B1151))</f>
        <v/>
      </c>
    </row>
    <row r="1152" customFormat="false" ht="15" hidden="false" customHeight="false" outlineLevel="0" collapsed="false">
      <c r="B1152" s="21"/>
      <c r="C1152" s="16"/>
      <c r="D1152" s="16"/>
      <c r="E1152" s="17"/>
      <c r="F1152" s="22" t="str">
        <f aca="false">IF(D1152="","",IFERROR(INDEX(Setup!$C$8:$C$37,MATCH(D1152,Setup!$B$8:$B$37,0)),"Check category"))</f>
        <v/>
      </c>
      <c r="G1152" s="23" t="str">
        <f aca="false">IF(B1152="","",MONTH(B1152))</f>
        <v/>
      </c>
      <c r="H1152" s="23" t="str">
        <f aca="false">IF(B1152="","",YEAR(B1152))</f>
        <v/>
      </c>
    </row>
    <row r="1153" customFormat="false" ht="15" hidden="false" customHeight="false" outlineLevel="0" collapsed="false">
      <c r="B1153" s="21"/>
      <c r="C1153" s="16"/>
      <c r="D1153" s="16"/>
      <c r="E1153" s="17"/>
      <c r="F1153" s="22" t="str">
        <f aca="false">IF(D1153="","",IFERROR(INDEX(Setup!$C$8:$C$37,MATCH(D1153,Setup!$B$8:$B$37,0)),"Check category"))</f>
        <v/>
      </c>
      <c r="G1153" s="23" t="str">
        <f aca="false">IF(B1153="","",MONTH(B1153))</f>
        <v/>
      </c>
      <c r="H1153" s="23" t="str">
        <f aca="false">IF(B1153="","",YEAR(B1153))</f>
        <v/>
      </c>
    </row>
    <row r="1154" customFormat="false" ht="15" hidden="false" customHeight="false" outlineLevel="0" collapsed="false">
      <c r="B1154" s="21"/>
      <c r="C1154" s="16"/>
      <c r="D1154" s="16"/>
      <c r="E1154" s="17"/>
      <c r="F1154" s="22" t="str">
        <f aca="false">IF(D1154="","",IFERROR(INDEX(Setup!$C$8:$C$37,MATCH(D1154,Setup!$B$8:$B$37,0)),"Check category"))</f>
        <v/>
      </c>
      <c r="G1154" s="23" t="str">
        <f aca="false">IF(B1154="","",MONTH(B1154))</f>
        <v/>
      </c>
      <c r="H1154" s="23" t="str">
        <f aca="false">IF(B1154="","",YEAR(B1154))</f>
        <v/>
      </c>
    </row>
    <row r="1155" customFormat="false" ht="15" hidden="false" customHeight="false" outlineLevel="0" collapsed="false">
      <c r="B1155" s="21"/>
      <c r="C1155" s="16"/>
      <c r="D1155" s="16"/>
      <c r="E1155" s="17"/>
      <c r="F1155" s="22" t="str">
        <f aca="false">IF(D1155="","",IFERROR(INDEX(Setup!$C$8:$C$37,MATCH(D1155,Setup!$B$8:$B$37,0)),"Check category"))</f>
        <v/>
      </c>
      <c r="G1155" s="23" t="str">
        <f aca="false">IF(B1155="","",MONTH(B1155))</f>
        <v/>
      </c>
      <c r="H1155" s="23" t="str">
        <f aca="false">IF(B1155="","",YEAR(B1155))</f>
        <v/>
      </c>
    </row>
    <row r="1156" customFormat="false" ht="15" hidden="false" customHeight="false" outlineLevel="0" collapsed="false">
      <c r="B1156" s="21"/>
      <c r="C1156" s="16"/>
      <c r="D1156" s="16"/>
      <c r="E1156" s="17"/>
      <c r="F1156" s="22" t="str">
        <f aca="false">IF(D1156="","",IFERROR(INDEX(Setup!$C$8:$C$37,MATCH(D1156,Setup!$B$8:$B$37,0)),"Check category"))</f>
        <v/>
      </c>
      <c r="G1156" s="23" t="str">
        <f aca="false">IF(B1156="","",MONTH(B1156))</f>
        <v/>
      </c>
      <c r="H1156" s="23" t="str">
        <f aca="false">IF(B1156="","",YEAR(B1156))</f>
        <v/>
      </c>
    </row>
    <row r="1157" customFormat="false" ht="15" hidden="false" customHeight="false" outlineLevel="0" collapsed="false">
      <c r="B1157" s="21"/>
      <c r="C1157" s="16"/>
      <c r="D1157" s="16"/>
      <c r="E1157" s="17"/>
      <c r="F1157" s="22" t="str">
        <f aca="false">IF(D1157="","",IFERROR(INDEX(Setup!$C$8:$C$37,MATCH(D1157,Setup!$B$8:$B$37,0)),"Check category"))</f>
        <v/>
      </c>
      <c r="G1157" s="23" t="str">
        <f aca="false">IF(B1157="","",MONTH(B1157))</f>
        <v/>
      </c>
      <c r="H1157" s="23" t="str">
        <f aca="false">IF(B1157="","",YEAR(B1157))</f>
        <v/>
      </c>
    </row>
    <row r="1158" customFormat="false" ht="15" hidden="false" customHeight="false" outlineLevel="0" collapsed="false">
      <c r="B1158" s="21"/>
      <c r="C1158" s="16"/>
      <c r="D1158" s="16"/>
      <c r="E1158" s="17"/>
      <c r="F1158" s="22" t="str">
        <f aca="false">IF(D1158="","",IFERROR(INDEX(Setup!$C$8:$C$37,MATCH(D1158,Setup!$B$8:$B$37,0)),"Check category"))</f>
        <v/>
      </c>
      <c r="G1158" s="23" t="str">
        <f aca="false">IF(B1158="","",MONTH(B1158))</f>
        <v/>
      </c>
      <c r="H1158" s="23" t="str">
        <f aca="false">IF(B1158="","",YEAR(B1158))</f>
        <v/>
      </c>
    </row>
    <row r="1159" customFormat="false" ht="15" hidden="false" customHeight="false" outlineLevel="0" collapsed="false">
      <c r="B1159" s="21"/>
      <c r="C1159" s="16"/>
      <c r="D1159" s="16"/>
      <c r="E1159" s="17"/>
      <c r="F1159" s="22" t="str">
        <f aca="false">IF(D1159="","",IFERROR(INDEX(Setup!$C$8:$C$37,MATCH(D1159,Setup!$B$8:$B$37,0)),"Check category"))</f>
        <v/>
      </c>
      <c r="G1159" s="23" t="str">
        <f aca="false">IF(B1159="","",MONTH(B1159))</f>
        <v/>
      </c>
      <c r="H1159" s="23" t="str">
        <f aca="false">IF(B1159="","",YEAR(B1159))</f>
        <v/>
      </c>
    </row>
    <row r="1160" customFormat="false" ht="15" hidden="false" customHeight="false" outlineLevel="0" collapsed="false">
      <c r="B1160" s="21"/>
      <c r="C1160" s="16"/>
      <c r="D1160" s="16"/>
      <c r="E1160" s="17"/>
      <c r="F1160" s="22" t="str">
        <f aca="false">IF(D1160="","",IFERROR(INDEX(Setup!$C$8:$C$37,MATCH(D1160,Setup!$B$8:$B$37,0)),"Check category"))</f>
        <v/>
      </c>
      <c r="G1160" s="23" t="str">
        <f aca="false">IF(B1160="","",MONTH(B1160))</f>
        <v/>
      </c>
      <c r="H1160" s="23" t="str">
        <f aca="false">IF(B1160="","",YEAR(B1160))</f>
        <v/>
      </c>
    </row>
    <row r="1161" customFormat="false" ht="15" hidden="false" customHeight="false" outlineLevel="0" collapsed="false">
      <c r="B1161" s="21"/>
      <c r="C1161" s="16"/>
      <c r="D1161" s="16"/>
      <c r="E1161" s="17"/>
      <c r="F1161" s="22" t="str">
        <f aca="false">IF(D1161="","",IFERROR(INDEX(Setup!$C$8:$C$37,MATCH(D1161,Setup!$B$8:$B$37,0)),"Check category"))</f>
        <v/>
      </c>
      <c r="G1161" s="23" t="str">
        <f aca="false">IF(B1161="","",MONTH(B1161))</f>
        <v/>
      </c>
      <c r="H1161" s="23" t="str">
        <f aca="false">IF(B1161="","",YEAR(B1161))</f>
        <v/>
      </c>
    </row>
    <row r="1162" customFormat="false" ht="15" hidden="false" customHeight="false" outlineLevel="0" collapsed="false">
      <c r="B1162" s="21"/>
      <c r="C1162" s="16"/>
      <c r="D1162" s="16"/>
      <c r="E1162" s="17"/>
      <c r="F1162" s="22" t="str">
        <f aca="false">IF(D1162="","",IFERROR(INDEX(Setup!$C$8:$C$37,MATCH(D1162,Setup!$B$8:$B$37,0)),"Check category"))</f>
        <v/>
      </c>
      <c r="G1162" s="23" t="str">
        <f aca="false">IF(B1162="","",MONTH(B1162))</f>
        <v/>
      </c>
      <c r="H1162" s="23" t="str">
        <f aca="false">IF(B1162="","",YEAR(B1162))</f>
        <v/>
      </c>
    </row>
    <row r="1163" customFormat="false" ht="15" hidden="false" customHeight="false" outlineLevel="0" collapsed="false">
      <c r="B1163" s="21"/>
      <c r="C1163" s="16"/>
      <c r="D1163" s="16"/>
      <c r="E1163" s="17"/>
      <c r="F1163" s="22" t="str">
        <f aca="false">IF(D1163="","",IFERROR(INDEX(Setup!$C$8:$C$37,MATCH(D1163,Setup!$B$8:$B$37,0)),"Check category"))</f>
        <v/>
      </c>
      <c r="G1163" s="23" t="str">
        <f aca="false">IF(B1163="","",MONTH(B1163))</f>
        <v/>
      </c>
      <c r="H1163" s="23" t="str">
        <f aca="false">IF(B1163="","",YEAR(B1163))</f>
        <v/>
      </c>
    </row>
    <row r="1164" customFormat="false" ht="15" hidden="false" customHeight="false" outlineLevel="0" collapsed="false">
      <c r="B1164" s="21"/>
      <c r="C1164" s="16"/>
      <c r="D1164" s="16"/>
      <c r="E1164" s="17"/>
      <c r="F1164" s="22" t="str">
        <f aca="false">IF(D1164="","",IFERROR(INDEX(Setup!$C$8:$C$37,MATCH(D1164,Setup!$B$8:$B$37,0)),"Check category"))</f>
        <v/>
      </c>
      <c r="G1164" s="23" t="str">
        <f aca="false">IF(B1164="","",MONTH(B1164))</f>
        <v/>
      </c>
      <c r="H1164" s="23" t="str">
        <f aca="false">IF(B1164="","",YEAR(B1164))</f>
        <v/>
      </c>
    </row>
    <row r="1165" customFormat="false" ht="15" hidden="false" customHeight="false" outlineLevel="0" collapsed="false">
      <c r="B1165" s="21"/>
      <c r="C1165" s="16"/>
      <c r="D1165" s="16"/>
      <c r="E1165" s="17"/>
      <c r="F1165" s="22" t="str">
        <f aca="false">IF(D1165="","",IFERROR(INDEX(Setup!$C$8:$C$37,MATCH(D1165,Setup!$B$8:$B$37,0)),"Check category"))</f>
        <v/>
      </c>
      <c r="G1165" s="23" t="str">
        <f aca="false">IF(B1165="","",MONTH(B1165))</f>
        <v/>
      </c>
      <c r="H1165" s="23" t="str">
        <f aca="false">IF(B1165="","",YEAR(B1165))</f>
        <v/>
      </c>
    </row>
    <row r="1166" customFormat="false" ht="15" hidden="false" customHeight="false" outlineLevel="0" collapsed="false">
      <c r="B1166" s="21"/>
      <c r="C1166" s="16"/>
      <c r="D1166" s="16"/>
      <c r="E1166" s="17"/>
      <c r="F1166" s="22" t="str">
        <f aca="false">IF(D1166="","",IFERROR(INDEX(Setup!$C$8:$C$37,MATCH(D1166,Setup!$B$8:$B$37,0)),"Check category"))</f>
        <v/>
      </c>
      <c r="G1166" s="23" t="str">
        <f aca="false">IF(B1166="","",MONTH(B1166))</f>
        <v/>
      </c>
      <c r="H1166" s="23" t="str">
        <f aca="false">IF(B1166="","",YEAR(B1166))</f>
        <v/>
      </c>
    </row>
    <row r="1167" customFormat="false" ht="15" hidden="false" customHeight="false" outlineLevel="0" collapsed="false">
      <c r="B1167" s="21"/>
      <c r="C1167" s="16"/>
      <c r="D1167" s="16"/>
      <c r="E1167" s="17"/>
      <c r="F1167" s="22" t="str">
        <f aca="false">IF(D1167="","",IFERROR(INDEX(Setup!$C$8:$C$37,MATCH(D1167,Setup!$B$8:$B$37,0)),"Check category"))</f>
        <v/>
      </c>
      <c r="G1167" s="23" t="str">
        <f aca="false">IF(B1167="","",MONTH(B1167))</f>
        <v/>
      </c>
      <c r="H1167" s="23" t="str">
        <f aca="false">IF(B1167="","",YEAR(B1167))</f>
        <v/>
      </c>
    </row>
    <row r="1168" customFormat="false" ht="15" hidden="false" customHeight="false" outlineLevel="0" collapsed="false">
      <c r="B1168" s="21"/>
      <c r="C1168" s="16"/>
      <c r="D1168" s="16"/>
      <c r="E1168" s="17"/>
      <c r="F1168" s="22" t="str">
        <f aca="false">IF(D1168="","",IFERROR(INDEX(Setup!$C$8:$C$37,MATCH(D1168,Setup!$B$8:$B$37,0)),"Check category"))</f>
        <v/>
      </c>
      <c r="G1168" s="23" t="str">
        <f aca="false">IF(B1168="","",MONTH(B1168))</f>
        <v/>
      </c>
      <c r="H1168" s="23" t="str">
        <f aca="false">IF(B1168="","",YEAR(B1168))</f>
        <v/>
      </c>
    </row>
    <row r="1169" customFormat="false" ht="15" hidden="false" customHeight="false" outlineLevel="0" collapsed="false">
      <c r="B1169" s="21"/>
      <c r="C1169" s="16"/>
      <c r="D1169" s="16"/>
      <c r="E1169" s="17"/>
      <c r="F1169" s="22" t="str">
        <f aca="false">IF(D1169="","",IFERROR(INDEX(Setup!$C$8:$C$37,MATCH(D1169,Setup!$B$8:$B$37,0)),"Check category"))</f>
        <v/>
      </c>
      <c r="G1169" s="23" t="str">
        <f aca="false">IF(B1169="","",MONTH(B1169))</f>
        <v/>
      </c>
      <c r="H1169" s="23" t="str">
        <f aca="false">IF(B1169="","",YEAR(B1169))</f>
        <v/>
      </c>
    </row>
    <row r="1170" customFormat="false" ht="15" hidden="false" customHeight="false" outlineLevel="0" collapsed="false">
      <c r="B1170" s="21"/>
      <c r="C1170" s="16"/>
      <c r="D1170" s="16"/>
      <c r="E1170" s="17"/>
      <c r="F1170" s="22" t="str">
        <f aca="false">IF(D1170="","",IFERROR(INDEX(Setup!$C$8:$C$37,MATCH(D1170,Setup!$B$8:$B$37,0)),"Check category"))</f>
        <v/>
      </c>
      <c r="G1170" s="23" t="str">
        <f aca="false">IF(B1170="","",MONTH(B1170))</f>
        <v/>
      </c>
      <c r="H1170" s="23" t="str">
        <f aca="false">IF(B1170="","",YEAR(B1170))</f>
        <v/>
      </c>
    </row>
    <row r="1171" customFormat="false" ht="15" hidden="false" customHeight="false" outlineLevel="0" collapsed="false">
      <c r="B1171" s="21"/>
      <c r="C1171" s="16"/>
      <c r="D1171" s="16"/>
      <c r="E1171" s="17"/>
      <c r="F1171" s="22" t="str">
        <f aca="false">IF(D1171="","",IFERROR(INDEX(Setup!$C$8:$C$37,MATCH(D1171,Setup!$B$8:$B$37,0)),"Check category"))</f>
        <v/>
      </c>
      <c r="G1171" s="23" t="str">
        <f aca="false">IF(B1171="","",MONTH(B1171))</f>
        <v/>
      </c>
      <c r="H1171" s="23" t="str">
        <f aca="false">IF(B1171="","",YEAR(B1171))</f>
        <v/>
      </c>
    </row>
    <row r="1172" customFormat="false" ht="15" hidden="false" customHeight="false" outlineLevel="0" collapsed="false">
      <c r="B1172" s="21"/>
      <c r="C1172" s="16"/>
      <c r="D1172" s="16"/>
      <c r="E1172" s="17"/>
      <c r="F1172" s="22" t="str">
        <f aca="false">IF(D1172="","",IFERROR(INDEX(Setup!$C$8:$C$37,MATCH(D1172,Setup!$B$8:$B$37,0)),"Check category"))</f>
        <v/>
      </c>
      <c r="G1172" s="23" t="str">
        <f aca="false">IF(B1172="","",MONTH(B1172))</f>
        <v/>
      </c>
      <c r="H1172" s="23" t="str">
        <f aca="false">IF(B1172="","",YEAR(B1172))</f>
        <v/>
      </c>
    </row>
    <row r="1173" customFormat="false" ht="15" hidden="false" customHeight="false" outlineLevel="0" collapsed="false">
      <c r="B1173" s="21"/>
      <c r="C1173" s="16"/>
      <c r="D1173" s="16"/>
      <c r="E1173" s="17"/>
      <c r="F1173" s="22" t="str">
        <f aca="false">IF(D1173="","",IFERROR(INDEX(Setup!$C$8:$C$37,MATCH(D1173,Setup!$B$8:$B$37,0)),"Check category"))</f>
        <v/>
      </c>
      <c r="G1173" s="23" t="str">
        <f aca="false">IF(B1173="","",MONTH(B1173))</f>
        <v/>
      </c>
      <c r="H1173" s="23" t="str">
        <f aca="false">IF(B1173="","",YEAR(B1173))</f>
        <v/>
      </c>
    </row>
    <row r="1174" customFormat="false" ht="15" hidden="false" customHeight="false" outlineLevel="0" collapsed="false">
      <c r="B1174" s="21"/>
      <c r="C1174" s="16"/>
      <c r="D1174" s="16"/>
      <c r="E1174" s="17"/>
      <c r="F1174" s="22" t="str">
        <f aca="false">IF(D1174="","",IFERROR(INDEX(Setup!$C$8:$C$37,MATCH(D1174,Setup!$B$8:$B$37,0)),"Check category"))</f>
        <v/>
      </c>
      <c r="G1174" s="23" t="str">
        <f aca="false">IF(B1174="","",MONTH(B1174))</f>
        <v/>
      </c>
      <c r="H1174" s="23" t="str">
        <f aca="false">IF(B1174="","",YEAR(B1174))</f>
        <v/>
      </c>
    </row>
    <row r="1175" customFormat="false" ht="15" hidden="false" customHeight="false" outlineLevel="0" collapsed="false">
      <c r="B1175" s="21"/>
      <c r="C1175" s="16"/>
      <c r="D1175" s="16"/>
      <c r="E1175" s="17"/>
      <c r="F1175" s="22" t="str">
        <f aca="false">IF(D1175="","",IFERROR(INDEX(Setup!$C$8:$C$37,MATCH(D1175,Setup!$B$8:$B$37,0)),"Check category"))</f>
        <v/>
      </c>
      <c r="G1175" s="23" t="str">
        <f aca="false">IF(B1175="","",MONTH(B1175))</f>
        <v/>
      </c>
      <c r="H1175" s="23" t="str">
        <f aca="false">IF(B1175="","",YEAR(B1175))</f>
        <v/>
      </c>
    </row>
    <row r="1176" customFormat="false" ht="15" hidden="false" customHeight="false" outlineLevel="0" collapsed="false">
      <c r="B1176" s="21"/>
      <c r="C1176" s="16"/>
      <c r="D1176" s="16"/>
      <c r="E1176" s="17"/>
      <c r="F1176" s="22" t="str">
        <f aca="false">IF(D1176="","",IFERROR(INDEX(Setup!$C$8:$C$37,MATCH(D1176,Setup!$B$8:$B$37,0)),"Check category"))</f>
        <v/>
      </c>
      <c r="G1176" s="23" t="str">
        <f aca="false">IF(B1176="","",MONTH(B1176))</f>
        <v/>
      </c>
      <c r="H1176" s="23" t="str">
        <f aca="false">IF(B1176="","",YEAR(B1176))</f>
        <v/>
      </c>
    </row>
    <row r="1177" customFormat="false" ht="15" hidden="false" customHeight="false" outlineLevel="0" collapsed="false">
      <c r="B1177" s="21"/>
      <c r="C1177" s="16"/>
      <c r="D1177" s="16"/>
      <c r="E1177" s="17"/>
      <c r="F1177" s="22" t="str">
        <f aca="false">IF(D1177="","",IFERROR(INDEX(Setup!$C$8:$C$37,MATCH(D1177,Setup!$B$8:$B$37,0)),"Check category"))</f>
        <v/>
      </c>
      <c r="G1177" s="23" t="str">
        <f aca="false">IF(B1177="","",MONTH(B1177))</f>
        <v/>
      </c>
      <c r="H1177" s="23" t="str">
        <f aca="false">IF(B1177="","",YEAR(B1177))</f>
        <v/>
      </c>
    </row>
    <row r="1178" customFormat="false" ht="15" hidden="false" customHeight="false" outlineLevel="0" collapsed="false">
      <c r="B1178" s="21"/>
      <c r="C1178" s="16"/>
      <c r="D1178" s="16"/>
      <c r="E1178" s="17"/>
      <c r="F1178" s="22" t="str">
        <f aca="false">IF(D1178="","",IFERROR(INDEX(Setup!$C$8:$C$37,MATCH(D1178,Setup!$B$8:$B$37,0)),"Check category"))</f>
        <v/>
      </c>
      <c r="G1178" s="23" t="str">
        <f aca="false">IF(B1178="","",MONTH(B1178))</f>
        <v/>
      </c>
      <c r="H1178" s="23" t="str">
        <f aca="false">IF(B1178="","",YEAR(B1178))</f>
        <v/>
      </c>
    </row>
    <row r="1179" customFormat="false" ht="15" hidden="false" customHeight="false" outlineLevel="0" collapsed="false">
      <c r="B1179" s="21"/>
      <c r="C1179" s="16"/>
      <c r="D1179" s="16"/>
      <c r="E1179" s="17"/>
      <c r="F1179" s="22" t="str">
        <f aca="false">IF(D1179="","",IFERROR(INDEX(Setup!$C$8:$C$37,MATCH(D1179,Setup!$B$8:$B$37,0)),"Check category"))</f>
        <v/>
      </c>
      <c r="G1179" s="23" t="str">
        <f aca="false">IF(B1179="","",MONTH(B1179))</f>
        <v/>
      </c>
      <c r="H1179" s="23" t="str">
        <f aca="false">IF(B1179="","",YEAR(B1179))</f>
        <v/>
      </c>
    </row>
    <row r="1180" customFormat="false" ht="15" hidden="false" customHeight="false" outlineLevel="0" collapsed="false">
      <c r="B1180" s="21"/>
      <c r="C1180" s="16"/>
      <c r="D1180" s="16"/>
      <c r="E1180" s="17"/>
      <c r="F1180" s="22" t="str">
        <f aca="false">IF(D1180="","",IFERROR(INDEX(Setup!$C$8:$C$37,MATCH(D1180,Setup!$B$8:$B$37,0)),"Check category"))</f>
        <v/>
      </c>
      <c r="G1180" s="23" t="str">
        <f aca="false">IF(B1180="","",MONTH(B1180))</f>
        <v/>
      </c>
      <c r="H1180" s="23" t="str">
        <f aca="false">IF(B1180="","",YEAR(B1180))</f>
        <v/>
      </c>
    </row>
    <row r="1181" customFormat="false" ht="15" hidden="false" customHeight="false" outlineLevel="0" collapsed="false">
      <c r="B1181" s="21"/>
      <c r="C1181" s="16"/>
      <c r="D1181" s="16"/>
      <c r="E1181" s="17"/>
      <c r="F1181" s="22" t="str">
        <f aca="false">IF(D1181="","",IFERROR(INDEX(Setup!$C$8:$C$37,MATCH(D1181,Setup!$B$8:$B$37,0)),"Check category"))</f>
        <v/>
      </c>
      <c r="G1181" s="23" t="str">
        <f aca="false">IF(B1181="","",MONTH(B1181))</f>
        <v/>
      </c>
      <c r="H1181" s="23" t="str">
        <f aca="false">IF(B1181="","",YEAR(B1181))</f>
        <v/>
      </c>
    </row>
    <row r="1182" customFormat="false" ht="15" hidden="false" customHeight="false" outlineLevel="0" collapsed="false">
      <c r="B1182" s="21"/>
      <c r="C1182" s="16"/>
      <c r="D1182" s="16"/>
      <c r="E1182" s="17"/>
      <c r="F1182" s="22" t="str">
        <f aca="false">IF(D1182="","",IFERROR(INDEX(Setup!$C$8:$C$37,MATCH(D1182,Setup!$B$8:$B$37,0)),"Check category"))</f>
        <v/>
      </c>
      <c r="G1182" s="23" t="str">
        <f aca="false">IF(B1182="","",MONTH(B1182))</f>
        <v/>
      </c>
      <c r="H1182" s="23" t="str">
        <f aca="false">IF(B1182="","",YEAR(B1182))</f>
        <v/>
      </c>
    </row>
    <row r="1183" customFormat="false" ht="15" hidden="false" customHeight="false" outlineLevel="0" collapsed="false">
      <c r="B1183" s="21"/>
      <c r="C1183" s="16"/>
      <c r="D1183" s="16"/>
      <c r="E1183" s="17"/>
      <c r="F1183" s="22" t="str">
        <f aca="false">IF(D1183="","",IFERROR(INDEX(Setup!$C$8:$C$37,MATCH(D1183,Setup!$B$8:$B$37,0)),"Check category"))</f>
        <v/>
      </c>
      <c r="G1183" s="23" t="str">
        <f aca="false">IF(B1183="","",MONTH(B1183))</f>
        <v/>
      </c>
      <c r="H1183" s="23" t="str">
        <f aca="false">IF(B1183="","",YEAR(B1183))</f>
        <v/>
      </c>
    </row>
    <row r="1184" customFormat="false" ht="15" hidden="false" customHeight="false" outlineLevel="0" collapsed="false">
      <c r="B1184" s="21"/>
      <c r="C1184" s="16"/>
      <c r="D1184" s="16"/>
      <c r="E1184" s="17"/>
      <c r="F1184" s="22" t="str">
        <f aca="false">IF(D1184="","",IFERROR(INDEX(Setup!$C$8:$C$37,MATCH(D1184,Setup!$B$8:$B$37,0)),"Check category"))</f>
        <v/>
      </c>
      <c r="G1184" s="23" t="str">
        <f aca="false">IF(B1184="","",MONTH(B1184))</f>
        <v/>
      </c>
      <c r="H1184" s="23" t="str">
        <f aca="false">IF(B1184="","",YEAR(B1184))</f>
        <v/>
      </c>
    </row>
    <row r="1185" customFormat="false" ht="15" hidden="false" customHeight="false" outlineLevel="0" collapsed="false">
      <c r="B1185" s="21"/>
      <c r="C1185" s="16"/>
      <c r="D1185" s="16"/>
      <c r="E1185" s="17"/>
      <c r="F1185" s="22" t="str">
        <f aca="false">IF(D1185="","",IFERROR(INDEX(Setup!$C$8:$C$37,MATCH(D1185,Setup!$B$8:$B$37,0)),"Check category"))</f>
        <v/>
      </c>
      <c r="G1185" s="23" t="str">
        <f aca="false">IF(B1185="","",MONTH(B1185))</f>
        <v/>
      </c>
      <c r="H1185" s="23" t="str">
        <f aca="false">IF(B1185="","",YEAR(B1185))</f>
        <v/>
      </c>
    </row>
    <row r="1186" customFormat="false" ht="15" hidden="false" customHeight="false" outlineLevel="0" collapsed="false">
      <c r="B1186" s="21"/>
      <c r="C1186" s="16"/>
      <c r="D1186" s="16"/>
      <c r="E1186" s="17"/>
      <c r="F1186" s="22" t="str">
        <f aca="false">IF(D1186="","",IFERROR(INDEX(Setup!$C$8:$C$37,MATCH(D1186,Setup!$B$8:$B$37,0)),"Check category"))</f>
        <v/>
      </c>
      <c r="G1186" s="23" t="str">
        <f aca="false">IF(B1186="","",MONTH(B1186))</f>
        <v/>
      </c>
      <c r="H1186" s="23" t="str">
        <f aca="false">IF(B1186="","",YEAR(B1186))</f>
        <v/>
      </c>
    </row>
    <row r="1187" customFormat="false" ht="15" hidden="false" customHeight="false" outlineLevel="0" collapsed="false">
      <c r="B1187" s="21"/>
      <c r="C1187" s="16"/>
      <c r="D1187" s="16"/>
      <c r="E1187" s="17"/>
      <c r="F1187" s="22" t="str">
        <f aca="false">IF(D1187="","",IFERROR(INDEX(Setup!$C$8:$C$37,MATCH(D1187,Setup!$B$8:$B$37,0)),"Check category"))</f>
        <v/>
      </c>
      <c r="G1187" s="23" t="str">
        <f aca="false">IF(B1187="","",MONTH(B1187))</f>
        <v/>
      </c>
      <c r="H1187" s="23" t="str">
        <f aca="false">IF(B1187="","",YEAR(B1187))</f>
        <v/>
      </c>
    </row>
    <row r="1188" customFormat="false" ht="15" hidden="false" customHeight="false" outlineLevel="0" collapsed="false">
      <c r="B1188" s="21"/>
      <c r="C1188" s="16"/>
      <c r="D1188" s="16"/>
      <c r="E1188" s="17"/>
      <c r="F1188" s="22" t="str">
        <f aca="false">IF(D1188="","",IFERROR(INDEX(Setup!$C$8:$C$37,MATCH(D1188,Setup!$B$8:$B$37,0)),"Check category"))</f>
        <v/>
      </c>
      <c r="G1188" s="23" t="str">
        <f aca="false">IF(B1188="","",MONTH(B1188))</f>
        <v/>
      </c>
      <c r="H1188" s="23" t="str">
        <f aca="false">IF(B1188="","",YEAR(B1188))</f>
        <v/>
      </c>
    </row>
    <row r="1189" customFormat="false" ht="15" hidden="false" customHeight="false" outlineLevel="0" collapsed="false">
      <c r="B1189" s="21"/>
      <c r="C1189" s="16"/>
      <c r="D1189" s="16"/>
      <c r="E1189" s="17"/>
      <c r="F1189" s="22" t="str">
        <f aca="false">IF(D1189="","",IFERROR(INDEX(Setup!$C$8:$C$37,MATCH(D1189,Setup!$B$8:$B$37,0)),"Check category"))</f>
        <v/>
      </c>
      <c r="G1189" s="23" t="str">
        <f aca="false">IF(B1189="","",MONTH(B1189))</f>
        <v/>
      </c>
      <c r="H1189" s="23" t="str">
        <f aca="false">IF(B1189="","",YEAR(B1189))</f>
        <v/>
      </c>
    </row>
    <row r="1190" customFormat="false" ht="15" hidden="false" customHeight="false" outlineLevel="0" collapsed="false">
      <c r="B1190" s="21"/>
      <c r="C1190" s="16"/>
      <c r="D1190" s="16"/>
      <c r="E1190" s="17"/>
      <c r="F1190" s="22" t="str">
        <f aca="false">IF(D1190="","",IFERROR(INDEX(Setup!$C$8:$C$37,MATCH(D1190,Setup!$B$8:$B$37,0)),"Check category"))</f>
        <v/>
      </c>
      <c r="G1190" s="23" t="str">
        <f aca="false">IF(B1190="","",MONTH(B1190))</f>
        <v/>
      </c>
      <c r="H1190" s="23" t="str">
        <f aca="false">IF(B1190="","",YEAR(B1190))</f>
        <v/>
      </c>
    </row>
    <row r="1191" customFormat="false" ht="15" hidden="false" customHeight="false" outlineLevel="0" collapsed="false">
      <c r="B1191" s="21"/>
      <c r="C1191" s="16"/>
      <c r="D1191" s="16"/>
      <c r="E1191" s="17"/>
      <c r="F1191" s="22" t="str">
        <f aca="false">IF(D1191="","",IFERROR(INDEX(Setup!$C$8:$C$37,MATCH(D1191,Setup!$B$8:$B$37,0)),"Check category"))</f>
        <v/>
      </c>
      <c r="G1191" s="23" t="str">
        <f aca="false">IF(B1191="","",MONTH(B1191))</f>
        <v/>
      </c>
      <c r="H1191" s="23" t="str">
        <f aca="false">IF(B1191="","",YEAR(B1191))</f>
        <v/>
      </c>
    </row>
    <row r="1192" customFormat="false" ht="15" hidden="false" customHeight="false" outlineLevel="0" collapsed="false">
      <c r="B1192" s="21"/>
      <c r="C1192" s="16"/>
      <c r="D1192" s="16"/>
      <c r="E1192" s="17"/>
      <c r="F1192" s="22" t="str">
        <f aca="false">IF(D1192="","",IFERROR(INDEX(Setup!$C$8:$C$37,MATCH(D1192,Setup!$B$8:$B$37,0)),"Check category"))</f>
        <v/>
      </c>
      <c r="G1192" s="23" t="str">
        <f aca="false">IF(B1192="","",MONTH(B1192))</f>
        <v/>
      </c>
      <c r="H1192" s="23" t="str">
        <f aca="false">IF(B1192="","",YEAR(B1192))</f>
        <v/>
      </c>
    </row>
    <row r="1193" customFormat="false" ht="15" hidden="false" customHeight="false" outlineLevel="0" collapsed="false">
      <c r="B1193" s="21"/>
      <c r="C1193" s="16"/>
      <c r="D1193" s="16"/>
      <c r="E1193" s="17"/>
      <c r="F1193" s="22" t="str">
        <f aca="false">IF(D1193="","",IFERROR(INDEX(Setup!$C$8:$C$37,MATCH(D1193,Setup!$B$8:$B$37,0)),"Check category"))</f>
        <v/>
      </c>
      <c r="G1193" s="23" t="str">
        <f aca="false">IF(B1193="","",MONTH(B1193))</f>
        <v/>
      </c>
      <c r="H1193" s="23" t="str">
        <f aca="false">IF(B1193="","",YEAR(B1193))</f>
        <v/>
      </c>
    </row>
    <row r="1194" customFormat="false" ht="15" hidden="false" customHeight="false" outlineLevel="0" collapsed="false">
      <c r="B1194" s="21"/>
      <c r="C1194" s="16"/>
      <c r="D1194" s="16"/>
      <c r="E1194" s="17"/>
      <c r="F1194" s="22" t="str">
        <f aca="false">IF(D1194="","",IFERROR(INDEX(Setup!$C$8:$C$37,MATCH(D1194,Setup!$B$8:$B$37,0)),"Check category"))</f>
        <v/>
      </c>
      <c r="G1194" s="23" t="str">
        <f aca="false">IF(B1194="","",MONTH(B1194))</f>
        <v/>
      </c>
      <c r="H1194" s="23" t="str">
        <f aca="false">IF(B1194="","",YEAR(B1194))</f>
        <v/>
      </c>
    </row>
    <row r="1195" customFormat="false" ht="15" hidden="false" customHeight="false" outlineLevel="0" collapsed="false">
      <c r="B1195" s="21"/>
      <c r="C1195" s="16"/>
      <c r="D1195" s="16"/>
      <c r="E1195" s="17"/>
      <c r="F1195" s="22" t="str">
        <f aca="false">IF(D1195="","",IFERROR(INDEX(Setup!$C$8:$C$37,MATCH(D1195,Setup!$B$8:$B$37,0)),"Check category"))</f>
        <v/>
      </c>
      <c r="G1195" s="23" t="str">
        <f aca="false">IF(B1195="","",MONTH(B1195))</f>
        <v/>
      </c>
      <c r="H1195" s="23" t="str">
        <f aca="false">IF(B1195="","",YEAR(B1195))</f>
        <v/>
      </c>
    </row>
    <row r="1196" customFormat="false" ht="15" hidden="false" customHeight="false" outlineLevel="0" collapsed="false">
      <c r="B1196" s="21"/>
      <c r="C1196" s="16"/>
      <c r="D1196" s="16"/>
      <c r="E1196" s="17"/>
      <c r="F1196" s="22" t="str">
        <f aca="false">IF(D1196="","",IFERROR(INDEX(Setup!$C$8:$C$37,MATCH(D1196,Setup!$B$8:$B$37,0)),"Check category"))</f>
        <v/>
      </c>
      <c r="G1196" s="23" t="str">
        <f aca="false">IF(B1196="","",MONTH(B1196))</f>
        <v/>
      </c>
      <c r="H1196" s="23" t="str">
        <f aca="false">IF(B1196="","",YEAR(B1196))</f>
        <v/>
      </c>
    </row>
    <row r="1197" customFormat="false" ht="15" hidden="false" customHeight="false" outlineLevel="0" collapsed="false">
      <c r="B1197" s="21"/>
      <c r="C1197" s="16"/>
      <c r="D1197" s="16"/>
      <c r="E1197" s="17"/>
      <c r="F1197" s="22" t="str">
        <f aca="false">IF(D1197="","",IFERROR(INDEX(Setup!$C$8:$C$37,MATCH(D1197,Setup!$B$8:$B$37,0)),"Check category"))</f>
        <v/>
      </c>
      <c r="G1197" s="23" t="str">
        <f aca="false">IF(B1197="","",MONTH(B1197))</f>
        <v/>
      </c>
      <c r="H1197" s="23" t="str">
        <f aca="false">IF(B1197="","",YEAR(B1197))</f>
        <v/>
      </c>
    </row>
    <row r="1198" customFormat="false" ht="15" hidden="false" customHeight="false" outlineLevel="0" collapsed="false">
      <c r="B1198" s="21"/>
      <c r="C1198" s="16"/>
      <c r="D1198" s="16"/>
      <c r="E1198" s="17"/>
      <c r="F1198" s="22" t="str">
        <f aca="false">IF(D1198="","",IFERROR(INDEX(Setup!$C$8:$C$37,MATCH(D1198,Setup!$B$8:$B$37,0)),"Check category"))</f>
        <v/>
      </c>
      <c r="G1198" s="23" t="str">
        <f aca="false">IF(B1198="","",MONTH(B1198))</f>
        <v/>
      </c>
      <c r="H1198" s="23" t="str">
        <f aca="false">IF(B1198="","",YEAR(B1198))</f>
        <v/>
      </c>
    </row>
    <row r="1199" customFormat="false" ht="15" hidden="false" customHeight="false" outlineLevel="0" collapsed="false">
      <c r="B1199" s="21"/>
      <c r="C1199" s="16"/>
      <c r="D1199" s="16"/>
      <c r="E1199" s="17"/>
      <c r="F1199" s="22" t="str">
        <f aca="false">IF(D1199="","",IFERROR(INDEX(Setup!$C$8:$C$37,MATCH(D1199,Setup!$B$8:$B$37,0)),"Check category"))</f>
        <v/>
      </c>
      <c r="G1199" s="23" t="str">
        <f aca="false">IF(B1199="","",MONTH(B1199))</f>
        <v/>
      </c>
      <c r="H1199" s="23" t="str">
        <f aca="false">IF(B1199="","",YEAR(B1199))</f>
        <v/>
      </c>
    </row>
    <row r="1200" customFormat="false" ht="15" hidden="false" customHeight="false" outlineLevel="0" collapsed="false">
      <c r="B1200" s="21"/>
      <c r="C1200" s="16"/>
      <c r="D1200" s="16"/>
      <c r="E1200" s="17"/>
      <c r="F1200" s="22" t="str">
        <f aca="false">IF(D1200="","",IFERROR(INDEX(Setup!$C$8:$C$37,MATCH(D1200,Setup!$B$8:$B$37,0)),"Check category"))</f>
        <v/>
      </c>
      <c r="G1200" s="23" t="str">
        <f aca="false">IF(B1200="","",MONTH(B1200))</f>
        <v/>
      </c>
      <c r="H1200" s="23" t="str">
        <f aca="false">IF(B1200="","",YEAR(B1200))</f>
        <v/>
      </c>
    </row>
    <row r="1201" customFormat="false" ht="15" hidden="false" customHeight="false" outlineLevel="0" collapsed="false">
      <c r="B1201" s="21"/>
      <c r="C1201" s="16"/>
      <c r="D1201" s="16"/>
      <c r="E1201" s="17"/>
      <c r="F1201" s="22" t="str">
        <f aca="false">IF(D1201="","",IFERROR(INDEX(Setup!$C$8:$C$37,MATCH(D1201,Setup!$B$8:$B$37,0)),"Check category"))</f>
        <v/>
      </c>
      <c r="G1201" s="23" t="str">
        <f aca="false">IF(B1201="","",MONTH(B1201))</f>
        <v/>
      </c>
      <c r="H1201" s="23" t="str">
        <f aca="false">IF(B1201="","",YEAR(B1201))</f>
        <v/>
      </c>
    </row>
    <row r="1202" customFormat="false" ht="15" hidden="false" customHeight="false" outlineLevel="0" collapsed="false">
      <c r="B1202" s="21"/>
      <c r="C1202" s="16"/>
      <c r="D1202" s="16"/>
      <c r="E1202" s="17"/>
      <c r="F1202" s="22" t="str">
        <f aca="false">IF(D1202="","",IFERROR(INDEX(Setup!$C$8:$C$37,MATCH(D1202,Setup!$B$8:$B$37,0)),"Check category"))</f>
        <v/>
      </c>
      <c r="G1202" s="23" t="str">
        <f aca="false">IF(B1202="","",MONTH(B1202))</f>
        <v/>
      </c>
      <c r="H1202" s="23" t="str">
        <f aca="false">IF(B1202="","",YEAR(B1202))</f>
        <v/>
      </c>
    </row>
    <row r="1203" customFormat="false" ht="15" hidden="false" customHeight="false" outlineLevel="0" collapsed="false">
      <c r="B1203" s="21"/>
      <c r="C1203" s="16"/>
      <c r="D1203" s="16"/>
      <c r="E1203" s="17"/>
      <c r="F1203" s="22" t="str">
        <f aca="false">IF(D1203="","",IFERROR(INDEX(Setup!$C$8:$C$37,MATCH(D1203,Setup!$B$8:$B$37,0)),"Check category"))</f>
        <v/>
      </c>
      <c r="G1203" s="23" t="str">
        <f aca="false">IF(B1203="","",MONTH(B1203))</f>
        <v/>
      </c>
      <c r="H1203" s="23" t="str">
        <f aca="false">IF(B1203="","",YEAR(B1203))</f>
        <v/>
      </c>
    </row>
    <row r="1204" customFormat="false" ht="15" hidden="false" customHeight="false" outlineLevel="0" collapsed="false">
      <c r="B1204" s="21"/>
      <c r="C1204" s="16"/>
      <c r="D1204" s="16"/>
      <c r="E1204" s="17"/>
      <c r="F1204" s="22" t="str">
        <f aca="false">IF(D1204="","",IFERROR(INDEX(Setup!$C$8:$C$37,MATCH(D1204,Setup!$B$8:$B$37,0)),"Check category"))</f>
        <v/>
      </c>
      <c r="G1204" s="23" t="str">
        <f aca="false">IF(B1204="","",MONTH(B1204))</f>
        <v/>
      </c>
      <c r="H1204" s="23" t="str">
        <f aca="false">IF(B1204="","",YEAR(B1204))</f>
        <v/>
      </c>
    </row>
    <row r="1205" customFormat="false" ht="15" hidden="false" customHeight="false" outlineLevel="0" collapsed="false">
      <c r="B1205" s="21"/>
      <c r="C1205" s="16"/>
      <c r="D1205" s="16"/>
      <c r="E1205" s="17"/>
      <c r="F1205" s="22" t="str">
        <f aca="false">IF(D1205="","",IFERROR(INDEX(Setup!$C$8:$C$37,MATCH(D1205,Setup!$B$8:$B$37,0)),"Check category"))</f>
        <v/>
      </c>
      <c r="G1205" s="23" t="str">
        <f aca="false">IF(B1205="","",MONTH(B1205))</f>
        <v/>
      </c>
      <c r="H1205" s="23" t="str">
        <f aca="false">IF(B1205="","",YEAR(B1205))</f>
        <v/>
      </c>
    </row>
    <row r="1206" customFormat="false" ht="15" hidden="false" customHeight="false" outlineLevel="0" collapsed="false">
      <c r="B1206" s="21"/>
      <c r="C1206" s="16"/>
      <c r="D1206" s="16"/>
      <c r="E1206" s="17"/>
      <c r="F1206" s="22" t="str">
        <f aca="false">IF(D1206="","",IFERROR(INDEX(Setup!$C$8:$C$37,MATCH(D1206,Setup!$B$8:$B$37,0)),"Check category"))</f>
        <v/>
      </c>
      <c r="G1206" s="23" t="str">
        <f aca="false">IF(B1206="","",MONTH(B1206))</f>
        <v/>
      </c>
      <c r="H1206" s="23" t="str">
        <f aca="false">IF(B1206="","",YEAR(B1206))</f>
        <v/>
      </c>
    </row>
    <row r="1207" customFormat="false" ht="15" hidden="false" customHeight="false" outlineLevel="0" collapsed="false">
      <c r="B1207" s="21"/>
      <c r="C1207" s="16"/>
      <c r="D1207" s="16"/>
      <c r="E1207" s="17"/>
      <c r="F1207" s="22" t="str">
        <f aca="false">IF(D1207="","",IFERROR(INDEX(Setup!$C$8:$C$37,MATCH(D1207,Setup!$B$8:$B$37,0)),"Check category"))</f>
        <v/>
      </c>
      <c r="G1207" s="23" t="str">
        <f aca="false">IF(B1207="","",MONTH(B1207))</f>
        <v/>
      </c>
      <c r="H1207" s="23" t="str">
        <f aca="false">IF(B1207="","",YEAR(B1207))</f>
        <v/>
      </c>
    </row>
    <row r="1208" customFormat="false" ht="15" hidden="false" customHeight="false" outlineLevel="0" collapsed="false">
      <c r="B1208" s="21"/>
      <c r="C1208" s="16"/>
      <c r="D1208" s="16"/>
      <c r="E1208" s="17"/>
      <c r="F1208" s="22" t="str">
        <f aca="false">IF(D1208="","",IFERROR(INDEX(Setup!$C$8:$C$37,MATCH(D1208,Setup!$B$8:$B$37,0)),"Check category"))</f>
        <v/>
      </c>
      <c r="G1208" s="23" t="str">
        <f aca="false">IF(B1208="","",MONTH(B1208))</f>
        <v/>
      </c>
      <c r="H1208" s="23" t="str">
        <f aca="false">IF(B1208="","",YEAR(B1208))</f>
        <v/>
      </c>
    </row>
    <row r="1209" customFormat="false" ht="15" hidden="false" customHeight="false" outlineLevel="0" collapsed="false">
      <c r="B1209" s="21"/>
      <c r="C1209" s="16"/>
      <c r="D1209" s="16"/>
      <c r="E1209" s="17"/>
      <c r="F1209" s="22" t="str">
        <f aca="false">IF(D1209="","",IFERROR(INDEX(Setup!$C$8:$C$37,MATCH(D1209,Setup!$B$8:$B$37,0)),"Check category"))</f>
        <v/>
      </c>
      <c r="G1209" s="23" t="str">
        <f aca="false">IF(B1209="","",MONTH(B1209))</f>
        <v/>
      </c>
      <c r="H1209" s="23" t="str">
        <f aca="false">IF(B1209="","",YEAR(B1209))</f>
        <v/>
      </c>
    </row>
    <row r="1210" customFormat="false" ht="15" hidden="false" customHeight="false" outlineLevel="0" collapsed="false">
      <c r="B1210" s="21"/>
      <c r="C1210" s="16"/>
      <c r="D1210" s="16"/>
      <c r="E1210" s="17"/>
      <c r="F1210" s="22" t="str">
        <f aca="false">IF(D1210="","",IFERROR(INDEX(Setup!$C$8:$C$37,MATCH(D1210,Setup!$B$8:$B$37,0)),"Check category"))</f>
        <v/>
      </c>
      <c r="G1210" s="23" t="str">
        <f aca="false">IF(B1210="","",MONTH(B1210))</f>
        <v/>
      </c>
      <c r="H1210" s="23" t="str">
        <f aca="false">IF(B1210="","",YEAR(B1210))</f>
        <v/>
      </c>
    </row>
    <row r="1211" customFormat="false" ht="15" hidden="false" customHeight="false" outlineLevel="0" collapsed="false">
      <c r="B1211" s="21"/>
      <c r="C1211" s="16"/>
      <c r="D1211" s="16"/>
      <c r="E1211" s="17"/>
      <c r="F1211" s="22" t="str">
        <f aca="false">IF(D1211="","",IFERROR(INDEX(Setup!$C$8:$C$37,MATCH(D1211,Setup!$B$8:$B$37,0)),"Check category"))</f>
        <v/>
      </c>
      <c r="G1211" s="23" t="str">
        <f aca="false">IF(B1211="","",MONTH(B1211))</f>
        <v/>
      </c>
      <c r="H1211" s="23" t="str">
        <f aca="false">IF(B1211="","",YEAR(B1211))</f>
        <v/>
      </c>
    </row>
    <row r="1212" customFormat="false" ht="15" hidden="false" customHeight="false" outlineLevel="0" collapsed="false">
      <c r="B1212" s="21"/>
      <c r="C1212" s="16"/>
      <c r="D1212" s="16"/>
      <c r="E1212" s="17"/>
      <c r="F1212" s="22" t="str">
        <f aca="false">IF(D1212="","",IFERROR(INDEX(Setup!$C$8:$C$37,MATCH(D1212,Setup!$B$8:$B$37,0)),"Check category"))</f>
        <v/>
      </c>
      <c r="G1212" s="23" t="str">
        <f aca="false">IF(B1212="","",MONTH(B1212))</f>
        <v/>
      </c>
      <c r="H1212" s="23" t="str">
        <f aca="false">IF(B1212="","",YEAR(B1212))</f>
        <v/>
      </c>
    </row>
    <row r="1213" customFormat="false" ht="15" hidden="false" customHeight="false" outlineLevel="0" collapsed="false">
      <c r="B1213" s="21"/>
      <c r="C1213" s="16"/>
      <c r="D1213" s="16"/>
      <c r="E1213" s="17"/>
      <c r="F1213" s="22" t="str">
        <f aca="false">IF(D1213="","",IFERROR(INDEX(Setup!$C$8:$C$37,MATCH(D1213,Setup!$B$8:$B$37,0)),"Check category"))</f>
        <v/>
      </c>
      <c r="G1213" s="23" t="str">
        <f aca="false">IF(B1213="","",MONTH(B1213))</f>
        <v/>
      </c>
      <c r="H1213" s="23" t="str">
        <f aca="false">IF(B1213="","",YEAR(B1213))</f>
        <v/>
      </c>
    </row>
    <row r="1214" customFormat="false" ht="15" hidden="false" customHeight="false" outlineLevel="0" collapsed="false">
      <c r="B1214" s="21"/>
      <c r="C1214" s="16"/>
      <c r="D1214" s="16"/>
      <c r="E1214" s="17"/>
      <c r="F1214" s="22" t="str">
        <f aca="false">IF(D1214="","",IFERROR(INDEX(Setup!$C$8:$C$37,MATCH(D1214,Setup!$B$8:$B$37,0)),"Check category"))</f>
        <v/>
      </c>
      <c r="G1214" s="23" t="str">
        <f aca="false">IF(B1214="","",MONTH(B1214))</f>
        <v/>
      </c>
      <c r="H1214" s="23" t="str">
        <f aca="false">IF(B1214="","",YEAR(B1214))</f>
        <v/>
      </c>
    </row>
    <row r="1215" customFormat="false" ht="15" hidden="false" customHeight="false" outlineLevel="0" collapsed="false">
      <c r="B1215" s="21"/>
      <c r="C1215" s="16"/>
      <c r="D1215" s="16"/>
      <c r="E1215" s="17"/>
      <c r="F1215" s="22" t="str">
        <f aca="false">IF(D1215="","",IFERROR(INDEX(Setup!$C$8:$C$37,MATCH(D1215,Setup!$B$8:$B$37,0)),"Check category"))</f>
        <v/>
      </c>
      <c r="G1215" s="23" t="str">
        <f aca="false">IF(B1215="","",MONTH(B1215))</f>
        <v/>
      </c>
      <c r="H1215" s="23" t="str">
        <f aca="false">IF(B1215="","",YEAR(B1215))</f>
        <v/>
      </c>
    </row>
    <row r="1216" customFormat="false" ht="15" hidden="false" customHeight="false" outlineLevel="0" collapsed="false">
      <c r="B1216" s="21"/>
      <c r="C1216" s="16"/>
      <c r="D1216" s="16"/>
      <c r="E1216" s="17"/>
      <c r="F1216" s="22" t="str">
        <f aca="false">IF(D1216="","",IFERROR(INDEX(Setup!$C$8:$C$37,MATCH(D1216,Setup!$B$8:$B$37,0)),"Check category"))</f>
        <v/>
      </c>
      <c r="G1216" s="23" t="str">
        <f aca="false">IF(B1216="","",MONTH(B1216))</f>
        <v/>
      </c>
      <c r="H1216" s="23" t="str">
        <f aca="false">IF(B1216="","",YEAR(B1216))</f>
        <v/>
      </c>
    </row>
    <row r="1217" customFormat="false" ht="15" hidden="false" customHeight="false" outlineLevel="0" collapsed="false">
      <c r="B1217" s="21"/>
      <c r="C1217" s="16"/>
      <c r="D1217" s="16"/>
      <c r="E1217" s="17"/>
      <c r="F1217" s="22" t="str">
        <f aca="false">IF(D1217="","",IFERROR(INDEX(Setup!$C$8:$C$37,MATCH(D1217,Setup!$B$8:$B$37,0)),"Check category"))</f>
        <v/>
      </c>
      <c r="G1217" s="23" t="str">
        <f aca="false">IF(B1217="","",MONTH(B1217))</f>
        <v/>
      </c>
      <c r="H1217" s="23" t="str">
        <f aca="false">IF(B1217="","",YEAR(B1217))</f>
        <v/>
      </c>
    </row>
    <row r="1218" customFormat="false" ht="15" hidden="false" customHeight="false" outlineLevel="0" collapsed="false">
      <c r="B1218" s="21"/>
      <c r="C1218" s="16"/>
      <c r="D1218" s="16"/>
      <c r="E1218" s="17"/>
      <c r="F1218" s="22" t="str">
        <f aca="false">IF(D1218="","",IFERROR(INDEX(Setup!$C$8:$C$37,MATCH(D1218,Setup!$B$8:$B$37,0)),"Check category"))</f>
        <v/>
      </c>
      <c r="G1218" s="23" t="str">
        <f aca="false">IF(B1218="","",MONTH(B1218))</f>
        <v/>
      </c>
      <c r="H1218" s="23" t="str">
        <f aca="false">IF(B1218="","",YEAR(B1218))</f>
        <v/>
      </c>
    </row>
    <row r="1219" customFormat="false" ht="15" hidden="false" customHeight="false" outlineLevel="0" collapsed="false">
      <c r="B1219" s="21"/>
      <c r="C1219" s="16"/>
      <c r="D1219" s="16"/>
      <c r="E1219" s="17"/>
      <c r="F1219" s="22" t="str">
        <f aca="false">IF(D1219="","",IFERROR(INDEX(Setup!$C$8:$C$37,MATCH(D1219,Setup!$B$8:$B$37,0)),"Check category"))</f>
        <v/>
      </c>
      <c r="G1219" s="23" t="str">
        <f aca="false">IF(B1219="","",MONTH(B1219))</f>
        <v/>
      </c>
      <c r="H1219" s="23" t="str">
        <f aca="false">IF(B1219="","",YEAR(B1219))</f>
        <v/>
      </c>
    </row>
    <row r="1220" customFormat="false" ht="15" hidden="false" customHeight="false" outlineLevel="0" collapsed="false">
      <c r="B1220" s="21"/>
      <c r="C1220" s="16"/>
      <c r="D1220" s="16"/>
      <c r="E1220" s="17"/>
      <c r="F1220" s="22" t="str">
        <f aca="false">IF(D1220="","",IFERROR(INDEX(Setup!$C$8:$C$37,MATCH(D1220,Setup!$B$8:$B$37,0)),"Check category"))</f>
        <v/>
      </c>
      <c r="G1220" s="23" t="str">
        <f aca="false">IF(B1220="","",MONTH(B1220))</f>
        <v/>
      </c>
      <c r="H1220" s="23" t="str">
        <f aca="false">IF(B1220="","",YEAR(B1220))</f>
        <v/>
      </c>
    </row>
    <row r="1221" customFormat="false" ht="15" hidden="false" customHeight="false" outlineLevel="0" collapsed="false">
      <c r="B1221" s="21"/>
      <c r="C1221" s="16"/>
      <c r="D1221" s="16"/>
      <c r="E1221" s="17"/>
      <c r="F1221" s="22" t="str">
        <f aca="false">IF(D1221="","",IFERROR(INDEX(Setup!$C$8:$C$37,MATCH(D1221,Setup!$B$8:$B$37,0)),"Check category"))</f>
        <v/>
      </c>
      <c r="G1221" s="23" t="str">
        <f aca="false">IF(B1221="","",MONTH(B1221))</f>
        <v/>
      </c>
      <c r="H1221" s="23" t="str">
        <f aca="false">IF(B1221="","",YEAR(B1221))</f>
        <v/>
      </c>
    </row>
    <row r="1222" customFormat="false" ht="15" hidden="false" customHeight="false" outlineLevel="0" collapsed="false">
      <c r="B1222" s="21"/>
      <c r="C1222" s="16"/>
      <c r="D1222" s="16"/>
      <c r="E1222" s="17"/>
      <c r="F1222" s="22" t="str">
        <f aca="false">IF(D1222="","",IFERROR(INDEX(Setup!$C$8:$C$37,MATCH(D1222,Setup!$B$8:$B$37,0)),"Check category"))</f>
        <v/>
      </c>
      <c r="G1222" s="23" t="str">
        <f aca="false">IF(B1222="","",MONTH(B1222))</f>
        <v/>
      </c>
      <c r="H1222" s="23" t="str">
        <f aca="false">IF(B1222="","",YEAR(B1222))</f>
        <v/>
      </c>
    </row>
    <row r="1223" customFormat="false" ht="15" hidden="false" customHeight="false" outlineLevel="0" collapsed="false">
      <c r="B1223" s="21"/>
      <c r="C1223" s="16"/>
      <c r="D1223" s="16"/>
      <c r="E1223" s="17"/>
      <c r="F1223" s="22" t="str">
        <f aca="false">IF(D1223="","",IFERROR(INDEX(Setup!$C$8:$C$37,MATCH(D1223,Setup!$B$8:$B$37,0)),"Check category"))</f>
        <v/>
      </c>
      <c r="G1223" s="23" t="str">
        <f aca="false">IF(B1223="","",MONTH(B1223))</f>
        <v/>
      </c>
      <c r="H1223" s="23" t="str">
        <f aca="false">IF(B1223="","",YEAR(B1223))</f>
        <v/>
      </c>
    </row>
    <row r="1224" customFormat="false" ht="15" hidden="false" customHeight="false" outlineLevel="0" collapsed="false">
      <c r="B1224" s="21"/>
      <c r="C1224" s="16"/>
      <c r="D1224" s="16"/>
      <c r="E1224" s="17"/>
      <c r="F1224" s="22" t="str">
        <f aca="false">IF(D1224="","",IFERROR(INDEX(Setup!$C$8:$C$37,MATCH(D1224,Setup!$B$8:$B$37,0)),"Check category"))</f>
        <v/>
      </c>
      <c r="G1224" s="23" t="str">
        <f aca="false">IF(B1224="","",MONTH(B1224))</f>
        <v/>
      </c>
      <c r="H1224" s="23" t="str">
        <f aca="false">IF(B1224="","",YEAR(B1224))</f>
        <v/>
      </c>
    </row>
    <row r="1225" customFormat="false" ht="15" hidden="false" customHeight="false" outlineLevel="0" collapsed="false">
      <c r="B1225" s="21"/>
      <c r="C1225" s="16"/>
      <c r="D1225" s="16"/>
      <c r="E1225" s="17"/>
      <c r="F1225" s="22" t="str">
        <f aca="false">IF(D1225="","",IFERROR(INDEX(Setup!$C$8:$C$37,MATCH(D1225,Setup!$B$8:$B$37,0)),"Check category"))</f>
        <v/>
      </c>
      <c r="G1225" s="23" t="str">
        <f aca="false">IF(B1225="","",MONTH(B1225))</f>
        <v/>
      </c>
      <c r="H1225" s="23" t="str">
        <f aca="false">IF(B1225="","",YEAR(B1225))</f>
        <v/>
      </c>
    </row>
    <row r="1226" customFormat="false" ht="15" hidden="false" customHeight="false" outlineLevel="0" collapsed="false">
      <c r="B1226" s="21"/>
      <c r="C1226" s="16"/>
      <c r="D1226" s="16"/>
      <c r="E1226" s="17"/>
      <c r="F1226" s="22" t="str">
        <f aca="false">IF(D1226="","",IFERROR(INDEX(Setup!$C$8:$C$37,MATCH(D1226,Setup!$B$8:$B$37,0)),"Check category"))</f>
        <v/>
      </c>
      <c r="G1226" s="23" t="str">
        <f aca="false">IF(B1226="","",MONTH(B1226))</f>
        <v/>
      </c>
      <c r="H1226" s="23" t="str">
        <f aca="false">IF(B1226="","",YEAR(B1226))</f>
        <v/>
      </c>
    </row>
    <row r="1227" customFormat="false" ht="15" hidden="false" customHeight="false" outlineLevel="0" collapsed="false">
      <c r="B1227" s="21"/>
      <c r="C1227" s="16"/>
      <c r="D1227" s="16"/>
      <c r="E1227" s="17"/>
      <c r="F1227" s="22" t="str">
        <f aca="false">IF(D1227="","",IFERROR(INDEX(Setup!$C$8:$C$37,MATCH(D1227,Setup!$B$8:$B$37,0)),"Check category"))</f>
        <v/>
      </c>
      <c r="G1227" s="23" t="str">
        <f aca="false">IF(B1227="","",MONTH(B1227))</f>
        <v/>
      </c>
      <c r="H1227" s="23" t="str">
        <f aca="false">IF(B1227="","",YEAR(B1227))</f>
        <v/>
      </c>
    </row>
    <row r="1228" customFormat="false" ht="15" hidden="false" customHeight="false" outlineLevel="0" collapsed="false">
      <c r="B1228" s="21"/>
      <c r="C1228" s="16"/>
      <c r="D1228" s="16"/>
      <c r="E1228" s="17"/>
      <c r="F1228" s="22" t="str">
        <f aca="false">IF(D1228="","",IFERROR(INDEX(Setup!$C$8:$C$37,MATCH(D1228,Setup!$B$8:$B$37,0)),"Check category"))</f>
        <v/>
      </c>
      <c r="G1228" s="23" t="str">
        <f aca="false">IF(B1228="","",MONTH(B1228))</f>
        <v/>
      </c>
      <c r="H1228" s="23" t="str">
        <f aca="false">IF(B1228="","",YEAR(B1228))</f>
        <v/>
      </c>
    </row>
    <row r="1229" customFormat="false" ht="15" hidden="false" customHeight="false" outlineLevel="0" collapsed="false">
      <c r="B1229" s="21"/>
      <c r="C1229" s="16"/>
      <c r="D1229" s="16"/>
      <c r="E1229" s="17"/>
      <c r="F1229" s="22" t="str">
        <f aca="false">IF(D1229="","",IFERROR(INDEX(Setup!$C$8:$C$37,MATCH(D1229,Setup!$B$8:$B$37,0)),"Check category"))</f>
        <v/>
      </c>
      <c r="G1229" s="23" t="str">
        <f aca="false">IF(B1229="","",MONTH(B1229))</f>
        <v/>
      </c>
      <c r="H1229" s="23" t="str">
        <f aca="false">IF(B1229="","",YEAR(B1229))</f>
        <v/>
      </c>
    </row>
    <row r="1230" customFormat="false" ht="15" hidden="false" customHeight="false" outlineLevel="0" collapsed="false">
      <c r="B1230" s="21"/>
      <c r="C1230" s="16"/>
      <c r="D1230" s="16"/>
      <c r="E1230" s="17"/>
      <c r="F1230" s="22" t="str">
        <f aca="false">IF(D1230="","",IFERROR(INDEX(Setup!$C$8:$C$37,MATCH(D1230,Setup!$B$8:$B$37,0)),"Check category"))</f>
        <v/>
      </c>
      <c r="G1230" s="23" t="str">
        <f aca="false">IF(B1230="","",MONTH(B1230))</f>
        <v/>
      </c>
      <c r="H1230" s="23" t="str">
        <f aca="false">IF(B1230="","",YEAR(B1230))</f>
        <v/>
      </c>
    </row>
    <row r="1231" customFormat="false" ht="15" hidden="false" customHeight="false" outlineLevel="0" collapsed="false">
      <c r="B1231" s="21"/>
      <c r="C1231" s="16"/>
      <c r="D1231" s="16"/>
      <c r="E1231" s="17"/>
      <c r="F1231" s="22" t="str">
        <f aca="false">IF(D1231="","",IFERROR(INDEX(Setup!$C$8:$C$37,MATCH(D1231,Setup!$B$8:$B$37,0)),"Check category"))</f>
        <v/>
      </c>
      <c r="G1231" s="23" t="str">
        <f aca="false">IF(B1231="","",MONTH(B1231))</f>
        <v/>
      </c>
      <c r="H1231" s="23" t="str">
        <f aca="false">IF(B1231="","",YEAR(B1231))</f>
        <v/>
      </c>
    </row>
    <row r="1232" customFormat="false" ht="15" hidden="false" customHeight="false" outlineLevel="0" collapsed="false">
      <c r="B1232" s="21"/>
      <c r="C1232" s="16"/>
      <c r="D1232" s="16"/>
      <c r="E1232" s="17"/>
      <c r="F1232" s="22" t="str">
        <f aca="false">IF(D1232="","",IFERROR(INDEX(Setup!$C$8:$C$37,MATCH(D1232,Setup!$B$8:$B$37,0)),"Check category"))</f>
        <v/>
      </c>
      <c r="G1232" s="23" t="str">
        <f aca="false">IF(B1232="","",MONTH(B1232))</f>
        <v/>
      </c>
      <c r="H1232" s="23" t="str">
        <f aca="false">IF(B1232="","",YEAR(B1232))</f>
        <v/>
      </c>
    </row>
    <row r="1233" customFormat="false" ht="15" hidden="false" customHeight="false" outlineLevel="0" collapsed="false">
      <c r="B1233" s="21"/>
      <c r="C1233" s="16"/>
      <c r="D1233" s="16"/>
      <c r="E1233" s="17"/>
      <c r="F1233" s="22" t="str">
        <f aca="false">IF(D1233="","",IFERROR(INDEX(Setup!$C$8:$C$37,MATCH(D1233,Setup!$B$8:$B$37,0)),"Check category"))</f>
        <v/>
      </c>
      <c r="G1233" s="23" t="str">
        <f aca="false">IF(B1233="","",MONTH(B1233))</f>
        <v/>
      </c>
      <c r="H1233" s="23" t="str">
        <f aca="false">IF(B1233="","",YEAR(B1233))</f>
        <v/>
      </c>
    </row>
    <row r="1234" customFormat="false" ht="15" hidden="false" customHeight="false" outlineLevel="0" collapsed="false">
      <c r="B1234" s="21"/>
      <c r="C1234" s="16"/>
      <c r="D1234" s="16"/>
      <c r="E1234" s="17"/>
      <c r="F1234" s="22" t="str">
        <f aca="false">IF(D1234="","",IFERROR(INDEX(Setup!$C$8:$C$37,MATCH(D1234,Setup!$B$8:$B$37,0)),"Check category"))</f>
        <v/>
      </c>
      <c r="G1234" s="23" t="str">
        <f aca="false">IF(B1234="","",MONTH(B1234))</f>
        <v/>
      </c>
      <c r="H1234" s="23" t="str">
        <f aca="false">IF(B1234="","",YEAR(B1234))</f>
        <v/>
      </c>
    </row>
    <row r="1235" customFormat="false" ht="15" hidden="false" customHeight="false" outlineLevel="0" collapsed="false">
      <c r="B1235" s="21"/>
      <c r="C1235" s="16"/>
      <c r="D1235" s="16"/>
      <c r="E1235" s="17"/>
      <c r="F1235" s="22" t="str">
        <f aca="false">IF(D1235="","",IFERROR(INDEX(Setup!$C$8:$C$37,MATCH(D1235,Setup!$B$8:$B$37,0)),"Check category"))</f>
        <v/>
      </c>
      <c r="G1235" s="23" t="str">
        <f aca="false">IF(B1235="","",MONTH(B1235))</f>
        <v/>
      </c>
      <c r="H1235" s="23" t="str">
        <f aca="false">IF(B1235="","",YEAR(B1235))</f>
        <v/>
      </c>
    </row>
    <row r="1236" customFormat="false" ht="15" hidden="false" customHeight="false" outlineLevel="0" collapsed="false">
      <c r="B1236" s="21"/>
      <c r="C1236" s="16"/>
      <c r="D1236" s="16"/>
      <c r="E1236" s="17"/>
      <c r="F1236" s="22" t="str">
        <f aca="false">IF(D1236="","",IFERROR(INDEX(Setup!$C$8:$C$37,MATCH(D1236,Setup!$B$8:$B$37,0)),"Check category"))</f>
        <v/>
      </c>
      <c r="G1236" s="23" t="str">
        <f aca="false">IF(B1236="","",MONTH(B1236))</f>
        <v/>
      </c>
      <c r="H1236" s="23" t="str">
        <f aca="false">IF(B1236="","",YEAR(B1236))</f>
        <v/>
      </c>
    </row>
    <row r="1237" customFormat="false" ht="15" hidden="false" customHeight="false" outlineLevel="0" collapsed="false">
      <c r="B1237" s="21"/>
      <c r="C1237" s="16"/>
      <c r="D1237" s="16"/>
      <c r="E1237" s="17"/>
      <c r="F1237" s="22" t="str">
        <f aca="false">IF(D1237="","",IFERROR(INDEX(Setup!$C$8:$C$37,MATCH(D1237,Setup!$B$8:$B$37,0)),"Check category"))</f>
        <v/>
      </c>
      <c r="G1237" s="23" t="str">
        <f aca="false">IF(B1237="","",MONTH(B1237))</f>
        <v/>
      </c>
      <c r="H1237" s="23" t="str">
        <f aca="false">IF(B1237="","",YEAR(B1237))</f>
        <v/>
      </c>
    </row>
    <row r="1238" customFormat="false" ht="15" hidden="false" customHeight="false" outlineLevel="0" collapsed="false">
      <c r="B1238" s="21"/>
      <c r="C1238" s="16"/>
      <c r="D1238" s="16"/>
      <c r="E1238" s="17"/>
      <c r="F1238" s="22" t="str">
        <f aca="false">IF(D1238="","",IFERROR(INDEX(Setup!$C$8:$C$37,MATCH(D1238,Setup!$B$8:$B$37,0)),"Check category"))</f>
        <v/>
      </c>
      <c r="G1238" s="23" t="str">
        <f aca="false">IF(B1238="","",MONTH(B1238))</f>
        <v/>
      </c>
      <c r="H1238" s="23" t="str">
        <f aca="false">IF(B1238="","",YEAR(B1238))</f>
        <v/>
      </c>
    </row>
    <row r="1239" customFormat="false" ht="15" hidden="false" customHeight="false" outlineLevel="0" collapsed="false">
      <c r="B1239" s="21"/>
      <c r="C1239" s="16"/>
      <c r="D1239" s="16"/>
      <c r="E1239" s="17"/>
      <c r="F1239" s="22" t="str">
        <f aca="false">IF(D1239="","",IFERROR(INDEX(Setup!$C$8:$C$37,MATCH(D1239,Setup!$B$8:$B$37,0)),"Check category"))</f>
        <v/>
      </c>
      <c r="G1239" s="23" t="str">
        <f aca="false">IF(B1239="","",MONTH(B1239))</f>
        <v/>
      </c>
      <c r="H1239" s="23" t="str">
        <f aca="false">IF(B1239="","",YEAR(B1239))</f>
        <v/>
      </c>
    </row>
    <row r="1240" customFormat="false" ht="15" hidden="false" customHeight="false" outlineLevel="0" collapsed="false">
      <c r="B1240" s="21"/>
      <c r="C1240" s="16"/>
      <c r="D1240" s="16"/>
      <c r="E1240" s="17"/>
      <c r="F1240" s="22" t="str">
        <f aca="false">IF(D1240="","",IFERROR(INDEX(Setup!$C$8:$C$37,MATCH(D1240,Setup!$B$8:$B$37,0)),"Check category"))</f>
        <v/>
      </c>
      <c r="G1240" s="23" t="str">
        <f aca="false">IF(B1240="","",MONTH(B1240))</f>
        <v/>
      </c>
      <c r="H1240" s="23" t="str">
        <f aca="false">IF(B1240="","",YEAR(B1240))</f>
        <v/>
      </c>
    </row>
    <row r="1241" customFormat="false" ht="15" hidden="false" customHeight="false" outlineLevel="0" collapsed="false">
      <c r="B1241" s="21"/>
      <c r="C1241" s="16"/>
      <c r="D1241" s="16"/>
      <c r="E1241" s="17"/>
      <c r="F1241" s="22" t="str">
        <f aca="false">IF(D1241="","",IFERROR(INDEX(Setup!$C$8:$C$37,MATCH(D1241,Setup!$B$8:$B$37,0)),"Check category"))</f>
        <v/>
      </c>
      <c r="G1241" s="23" t="str">
        <f aca="false">IF(B1241="","",MONTH(B1241))</f>
        <v/>
      </c>
      <c r="H1241" s="23" t="str">
        <f aca="false">IF(B1241="","",YEAR(B1241))</f>
        <v/>
      </c>
    </row>
    <row r="1242" customFormat="false" ht="15" hidden="false" customHeight="false" outlineLevel="0" collapsed="false">
      <c r="B1242" s="21"/>
      <c r="C1242" s="16"/>
      <c r="D1242" s="16"/>
      <c r="E1242" s="17"/>
      <c r="F1242" s="22" t="str">
        <f aca="false">IF(D1242="","",IFERROR(INDEX(Setup!$C$8:$C$37,MATCH(D1242,Setup!$B$8:$B$37,0)),"Check category"))</f>
        <v/>
      </c>
      <c r="G1242" s="23" t="str">
        <f aca="false">IF(B1242="","",MONTH(B1242))</f>
        <v/>
      </c>
      <c r="H1242" s="23" t="str">
        <f aca="false">IF(B1242="","",YEAR(B1242))</f>
        <v/>
      </c>
    </row>
    <row r="1243" customFormat="false" ht="15" hidden="false" customHeight="false" outlineLevel="0" collapsed="false">
      <c r="B1243" s="21"/>
      <c r="C1243" s="16"/>
      <c r="D1243" s="16"/>
      <c r="E1243" s="17"/>
      <c r="F1243" s="22" t="str">
        <f aca="false">IF(D1243="","",IFERROR(INDEX(Setup!$C$8:$C$37,MATCH(D1243,Setup!$B$8:$B$37,0)),"Check category"))</f>
        <v/>
      </c>
      <c r="G1243" s="23" t="str">
        <f aca="false">IF(B1243="","",MONTH(B1243))</f>
        <v/>
      </c>
      <c r="H1243" s="23" t="str">
        <f aca="false">IF(B1243="","",YEAR(B1243))</f>
        <v/>
      </c>
    </row>
    <row r="1244" customFormat="false" ht="15" hidden="false" customHeight="false" outlineLevel="0" collapsed="false">
      <c r="B1244" s="21"/>
      <c r="C1244" s="16"/>
      <c r="D1244" s="16"/>
      <c r="E1244" s="17"/>
      <c r="F1244" s="22" t="str">
        <f aca="false">IF(D1244="","",IFERROR(INDEX(Setup!$C$8:$C$37,MATCH(D1244,Setup!$B$8:$B$37,0)),"Check category"))</f>
        <v/>
      </c>
      <c r="G1244" s="23" t="str">
        <f aca="false">IF(B1244="","",MONTH(B1244))</f>
        <v/>
      </c>
      <c r="H1244" s="23" t="str">
        <f aca="false">IF(B1244="","",YEAR(B1244))</f>
        <v/>
      </c>
    </row>
    <row r="1245" customFormat="false" ht="15" hidden="false" customHeight="false" outlineLevel="0" collapsed="false">
      <c r="B1245" s="21"/>
      <c r="C1245" s="16"/>
      <c r="D1245" s="16"/>
      <c r="E1245" s="17"/>
      <c r="F1245" s="22" t="str">
        <f aca="false">IF(D1245="","",IFERROR(INDEX(Setup!$C$8:$C$37,MATCH(D1245,Setup!$B$8:$B$37,0)),"Check category"))</f>
        <v/>
      </c>
      <c r="G1245" s="23" t="str">
        <f aca="false">IF(B1245="","",MONTH(B1245))</f>
        <v/>
      </c>
      <c r="H1245" s="23" t="str">
        <f aca="false">IF(B1245="","",YEAR(B1245))</f>
        <v/>
      </c>
    </row>
    <row r="1246" customFormat="false" ht="15" hidden="false" customHeight="false" outlineLevel="0" collapsed="false">
      <c r="B1246" s="21"/>
      <c r="C1246" s="16"/>
      <c r="D1246" s="16"/>
      <c r="E1246" s="17"/>
      <c r="F1246" s="22" t="str">
        <f aca="false">IF(D1246="","",IFERROR(INDEX(Setup!$C$8:$C$37,MATCH(D1246,Setup!$B$8:$B$37,0)),"Check category"))</f>
        <v/>
      </c>
      <c r="G1246" s="23" t="str">
        <f aca="false">IF(B1246="","",MONTH(B1246))</f>
        <v/>
      </c>
      <c r="H1246" s="23" t="str">
        <f aca="false">IF(B1246="","",YEAR(B1246))</f>
        <v/>
      </c>
    </row>
    <row r="1247" customFormat="false" ht="15" hidden="false" customHeight="false" outlineLevel="0" collapsed="false">
      <c r="B1247" s="21"/>
      <c r="C1247" s="16"/>
      <c r="D1247" s="16"/>
      <c r="E1247" s="17"/>
      <c r="F1247" s="22" t="str">
        <f aca="false">IF(D1247="","",IFERROR(INDEX(Setup!$C$8:$C$37,MATCH(D1247,Setup!$B$8:$B$37,0)),"Check category"))</f>
        <v/>
      </c>
      <c r="G1247" s="23" t="str">
        <f aca="false">IF(B1247="","",MONTH(B1247))</f>
        <v/>
      </c>
      <c r="H1247" s="23" t="str">
        <f aca="false">IF(B1247="","",YEAR(B1247))</f>
        <v/>
      </c>
    </row>
    <row r="1248" customFormat="false" ht="15" hidden="false" customHeight="false" outlineLevel="0" collapsed="false">
      <c r="B1248" s="21"/>
      <c r="C1248" s="16"/>
      <c r="D1248" s="16"/>
      <c r="E1248" s="17"/>
      <c r="F1248" s="22" t="str">
        <f aca="false">IF(D1248="","",IFERROR(INDEX(Setup!$C$8:$C$37,MATCH(D1248,Setup!$B$8:$B$37,0)),"Check category"))</f>
        <v/>
      </c>
      <c r="G1248" s="23" t="str">
        <f aca="false">IF(B1248="","",MONTH(B1248))</f>
        <v/>
      </c>
      <c r="H1248" s="23" t="str">
        <f aca="false">IF(B1248="","",YEAR(B1248))</f>
        <v/>
      </c>
    </row>
    <row r="1249" customFormat="false" ht="15" hidden="false" customHeight="false" outlineLevel="0" collapsed="false">
      <c r="B1249" s="21"/>
      <c r="C1249" s="16"/>
      <c r="D1249" s="16"/>
      <c r="E1249" s="17"/>
      <c r="F1249" s="22" t="str">
        <f aca="false">IF(D1249="","",IFERROR(INDEX(Setup!$C$8:$C$37,MATCH(D1249,Setup!$B$8:$B$37,0)),"Check category"))</f>
        <v/>
      </c>
      <c r="G1249" s="23" t="str">
        <f aca="false">IF(B1249="","",MONTH(B1249))</f>
        <v/>
      </c>
      <c r="H1249" s="23" t="str">
        <f aca="false">IF(B1249="","",YEAR(B1249))</f>
        <v/>
      </c>
    </row>
    <row r="1250" customFormat="false" ht="15" hidden="false" customHeight="false" outlineLevel="0" collapsed="false">
      <c r="B1250" s="21"/>
      <c r="C1250" s="16"/>
      <c r="D1250" s="16"/>
      <c r="E1250" s="17"/>
      <c r="F1250" s="22" t="str">
        <f aca="false">IF(D1250="","",IFERROR(INDEX(Setup!$C$8:$C$37,MATCH(D1250,Setup!$B$8:$B$37,0)),"Check category"))</f>
        <v/>
      </c>
      <c r="G1250" s="23" t="str">
        <f aca="false">IF(B1250="","",MONTH(B1250))</f>
        <v/>
      </c>
      <c r="H1250" s="23" t="str">
        <f aca="false">IF(B1250="","",YEAR(B1250))</f>
        <v/>
      </c>
    </row>
    <row r="1251" customFormat="false" ht="15" hidden="false" customHeight="false" outlineLevel="0" collapsed="false">
      <c r="B1251" s="21"/>
      <c r="C1251" s="16"/>
      <c r="D1251" s="16"/>
      <c r="E1251" s="17"/>
      <c r="F1251" s="22" t="str">
        <f aca="false">IF(D1251="","",IFERROR(INDEX(Setup!$C$8:$C$37,MATCH(D1251,Setup!$B$8:$B$37,0)),"Check category"))</f>
        <v/>
      </c>
      <c r="G1251" s="23" t="str">
        <f aca="false">IF(B1251="","",MONTH(B1251))</f>
        <v/>
      </c>
      <c r="H1251" s="23" t="str">
        <f aca="false">IF(B1251="","",YEAR(B1251))</f>
        <v/>
      </c>
    </row>
    <row r="1252" customFormat="false" ht="15" hidden="false" customHeight="false" outlineLevel="0" collapsed="false">
      <c r="B1252" s="21"/>
      <c r="C1252" s="16"/>
      <c r="D1252" s="16"/>
      <c r="E1252" s="17"/>
      <c r="F1252" s="22" t="str">
        <f aca="false">IF(D1252="","",IFERROR(INDEX(Setup!$C$8:$C$37,MATCH(D1252,Setup!$B$8:$B$37,0)),"Check category"))</f>
        <v/>
      </c>
      <c r="G1252" s="23" t="str">
        <f aca="false">IF(B1252="","",MONTH(B1252))</f>
        <v/>
      </c>
      <c r="H1252" s="23" t="str">
        <f aca="false">IF(B1252="","",YEAR(B1252))</f>
        <v/>
      </c>
    </row>
    <row r="1253" customFormat="false" ht="15" hidden="false" customHeight="false" outlineLevel="0" collapsed="false">
      <c r="B1253" s="21"/>
      <c r="C1253" s="16"/>
      <c r="D1253" s="16"/>
      <c r="E1253" s="17"/>
      <c r="F1253" s="22" t="str">
        <f aca="false">IF(D1253="","",IFERROR(INDEX(Setup!$C$8:$C$37,MATCH(D1253,Setup!$B$8:$B$37,0)),"Check category"))</f>
        <v/>
      </c>
      <c r="G1253" s="23" t="str">
        <f aca="false">IF(B1253="","",MONTH(B1253))</f>
        <v/>
      </c>
      <c r="H1253" s="23" t="str">
        <f aca="false">IF(B1253="","",YEAR(B1253))</f>
        <v/>
      </c>
    </row>
    <row r="1254" customFormat="false" ht="15" hidden="false" customHeight="false" outlineLevel="0" collapsed="false">
      <c r="B1254" s="21"/>
      <c r="C1254" s="16"/>
      <c r="D1254" s="16"/>
      <c r="E1254" s="17"/>
      <c r="F1254" s="22" t="str">
        <f aca="false">IF(D1254="","",IFERROR(INDEX(Setup!$C$8:$C$37,MATCH(D1254,Setup!$B$8:$B$37,0)),"Check category"))</f>
        <v/>
      </c>
      <c r="G1254" s="23" t="str">
        <f aca="false">IF(B1254="","",MONTH(B1254))</f>
        <v/>
      </c>
      <c r="H1254" s="23" t="str">
        <f aca="false">IF(B1254="","",YEAR(B1254))</f>
        <v/>
      </c>
    </row>
    <row r="1255" customFormat="false" ht="15" hidden="false" customHeight="false" outlineLevel="0" collapsed="false">
      <c r="B1255" s="21"/>
      <c r="C1255" s="16"/>
      <c r="D1255" s="16"/>
      <c r="E1255" s="17"/>
      <c r="F1255" s="22" t="str">
        <f aca="false">IF(D1255="","",IFERROR(INDEX(Setup!$C$8:$C$37,MATCH(D1255,Setup!$B$8:$B$37,0)),"Check category"))</f>
        <v/>
      </c>
      <c r="G1255" s="23" t="str">
        <f aca="false">IF(B1255="","",MONTH(B1255))</f>
        <v/>
      </c>
      <c r="H1255" s="23" t="str">
        <f aca="false">IF(B1255="","",YEAR(B1255))</f>
        <v/>
      </c>
    </row>
    <row r="1256" customFormat="false" ht="15" hidden="false" customHeight="false" outlineLevel="0" collapsed="false">
      <c r="B1256" s="21"/>
      <c r="C1256" s="16"/>
      <c r="D1256" s="16"/>
      <c r="E1256" s="17"/>
      <c r="F1256" s="22" t="str">
        <f aca="false">IF(D1256="","",IFERROR(INDEX(Setup!$C$8:$C$37,MATCH(D1256,Setup!$B$8:$B$37,0)),"Check category"))</f>
        <v/>
      </c>
      <c r="G1256" s="23" t="str">
        <f aca="false">IF(B1256="","",MONTH(B1256))</f>
        <v/>
      </c>
      <c r="H1256" s="23" t="str">
        <f aca="false">IF(B1256="","",YEAR(B1256))</f>
        <v/>
      </c>
    </row>
    <row r="1257" customFormat="false" ht="15" hidden="false" customHeight="false" outlineLevel="0" collapsed="false">
      <c r="B1257" s="21"/>
      <c r="C1257" s="16"/>
      <c r="D1257" s="16"/>
      <c r="E1257" s="17"/>
      <c r="F1257" s="22" t="str">
        <f aca="false">IF(D1257="","",IFERROR(INDEX(Setup!$C$8:$C$37,MATCH(D1257,Setup!$B$8:$B$37,0)),"Check category"))</f>
        <v/>
      </c>
      <c r="G1257" s="23" t="str">
        <f aca="false">IF(B1257="","",MONTH(B1257))</f>
        <v/>
      </c>
      <c r="H1257" s="23" t="str">
        <f aca="false">IF(B1257="","",YEAR(B1257))</f>
        <v/>
      </c>
    </row>
    <row r="1258" customFormat="false" ht="15" hidden="false" customHeight="false" outlineLevel="0" collapsed="false">
      <c r="B1258" s="21"/>
      <c r="C1258" s="16"/>
      <c r="D1258" s="16"/>
      <c r="E1258" s="17"/>
      <c r="F1258" s="22" t="str">
        <f aca="false">IF(D1258="","",IFERROR(INDEX(Setup!$C$8:$C$37,MATCH(D1258,Setup!$B$8:$B$37,0)),"Check category"))</f>
        <v/>
      </c>
      <c r="G1258" s="23" t="str">
        <f aca="false">IF(B1258="","",MONTH(B1258))</f>
        <v/>
      </c>
      <c r="H1258" s="23" t="str">
        <f aca="false">IF(B1258="","",YEAR(B1258))</f>
        <v/>
      </c>
    </row>
    <row r="1259" customFormat="false" ht="15" hidden="false" customHeight="false" outlineLevel="0" collapsed="false">
      <c r="B1259" s="21"/>
      <c r="C1259" s="16"/>
      <c r="D1259" s="16"/>
      <c r="E1259" s="17"/>
      <c r="F1259" s="22" t="str">
        <f aca="false">IF(D1259="","",IFERROR(INDEX(Setup!$C$8:$C$37,MATCH(D1259,Setup!$B$8:$B$37,0)),"Check category"))</f>
        <v/>
      </c>
      <c r="G1259" s="23" t="str">
        <f aca="false">IF(B1259="","",MONTH(B1259))</f>
        <v/>
      </c>
      <c r="H1259" s="23" t="str">
        <f aca="false">IF(B1259="","",YEAR(B1259))</f>
        <v/>
      </c>
    </row>
    <row r="1260" customFormat="false" ht="15" hidden="false" customHeight="false" outlineLevel="0" collapsed="false">
      <c r="B1260" s="21"/>
      <c r="C1260" s="16"/>
      <c r="D1260" s="16"/>
      <c r="E1260" s="17"/>
      <c r="F1260" s="22" t="str">
        <f aca="false">IF(D1260="","",IFERROR(INDEX(Setup!$C$8:$C$37,MATCH(D1260,Setup!$B$8:$B$37,0)),"Check category"))</f>
        <v/>
      </c>
      <c r="G1260" s="23" t="str">
        <f aca="false">IF(B1260="","",MONTH(B1260))</f>
        <v/>
      </c>
      <c r="H1260" s="23" t="str">
        <f aca="false">IF(B1260="","",YEAR(B1260))</f>
        <v/>
      </c>
    </row>
    <row r="1261" customFormat="false" ht="15" hidden="false" customHeight="false" outlineLevel="0" collapsed="false">
      <c r="B1261" s="21"/>
      <c r="C1261" s="16"/>
      <c r="D1261" s="16"/>
      <c r="E1261" s="17"/>
      <c r="F1261" s="22" t="str">
        <f aca="false">IF(D1261="","",IFERROR(INDEX(Setup!$C$8:$C$37,MATCH(D1261,Setup!$B$8:$B$37,0)),"Check category"))</f>
        <v/>
      </c>
      <c r="G1261" s="23" t="str">
        <f aca="false">IF(B1261="","",MONTH(B1261))</f>
        <v/>
      </c>
      <c r="H1261" s="23" t="str">
        <f aca="false">IF(B1261="","",YEAR(B1261))</f>
        <v/>
      </c>
    </row>
    <row r="1262" customFormat="false" ht="15" hidden="false" customHeight="false" outlineLevel="0" collapsed="false">
      <c r="B1262" s="21"/>
      <c r="C1262" s="16"/>
      <c r="D1262" s="16"/>
      <c r="E1262" s="17"/>
      <c r="F1262" s="22" t="str">
        <f aca="false">IF(D1262="","",IFERROR(INDEX(Setup!$C$8:$C$37,MATCH(D1262,Setup!$B$8:$B$37,0)),"Check category"))</f>
        <v/>
      </c>
      <c r="G1262" s="23" t="str">
        <f aca="false">IF(B1262="","",MONTH(B1262))</f>
        <v/>
      </c>
      <c r="H1262" s="23" t="str">
        <f aca="false">IF(B1262="","",YEAR(B1262))</f>
        <v/>
      </c>
    </row>
    <row r="1263" customFormat="false" ht="15" hidden="false" customHeight="false" outlineLevel="0" collapsed="false">
      <c r="B1263" s="21"/>
      <c r="C1263" s="16"/>
      <c r="D1263" s="16"/>
      <c r="E1263" s="17"/>
      <c r="F1263" s="22" t="str">
        <f aca="false">IF(D1263="","",IFERROR(INDEX(Setup!$C$8:$C$37,MATCH(D1263,Setup!$B$8:$B$37,0)),"Check category"))</f>
        <v/>
      </c>
      <c r="G1263" s="23" t="str">
        <f aca="false">IF(B1263="","",MONTH(B1263))</f>
        <v/>
      </c>
      <c r="H1263" s="23" t="str">
        <f aca="false">IF(B1263="","",YEAR(B1263))</f>
        <v/>
      </c>
    </row>
    <row r="1264" customFormat="false" ht="15" hidden="false" customHeight="false" outlineLevel="0" collapsed="false">
      <c r="B1264" s="21"/>
      <c r="C1264" s="16"/>
      <c r="D1264" s="16"/>
      <c r="E1264" s="17"/>
      <c r="F1264" s="22" t="str">
        <f aca="false">IF(D1264="","",IFERROR(INDEX(Setup!$C$8:$C$37,MATCH(D1264,Setup!$B$8:$B$37,0)),"Check category"))</f>
        <v/>
      </c>
      <c r="G1264" s="23" t="str">
        <f aca="false">IF(B1264="","",MONTH(B1264))</f>
        <v/>
      </c>
      <c r="H1264" s="23" t="str">
        <f aca="false">IF(B1264="","",YEAR(B1264))</f>
        <v/>
      </c>
    </row>
    <row r="1265" customFormat="false" ht="15" hidden="false" customHeight="false" outlineLevel="0" collapsed="false">
      <c r="B1265" s="21"/>
      <c r="C1265" s="16"/>
      <c r="D1265" s="16"/>
      <c r="E1265" s="17"/>
      <c r="F1265" s="22" t="str">
        <f aca="false">IF(D1265="","",IFERROR(INDEX(Setup!$C$8:$C$37,MATCH(D1265,Setup!$B$8:$B$37,0)),"Check category"))</f>
        <v/>
      </c>
      <c r="G1265" s="23" t="str">
        <f aca="false">IF(B1265="","",MONTH(B1265))</f>
        <v/>
      </c>
      <c r="H1265" s="23" t="str">
        <f aca="false">IF(B1265="","",YEAR(B1265))</f>
        <v/>
      </c>
    </row>
    <row r="1266" customFormat="false" ht="15" hidden="false" customHeight="false" outlineLevel="0" collapsed="false">
      <c r="B1266" s="21"/>
      <c r="C1266" s="16"/>
      <c r="D1266" s="16"/>
      <c r="E1266" s="17"/>
      <c r="F1266" s="22" t="str">
        <f aca="false">IF(D1266="","",IFERROR(INDEX(Setup!$C$8:$C$37,MATCH(D1266,Setup!$B$8:$B$37,0)),"Check category"))</f>
        <v/>
      </c>
      <c r="G1266" s="23" t="str">
        <f aca="false">IF(B1266="","",MONTH(B1266))</f>
        <v/>
      </c>
      <c r="H1266" s="23" t="str">
        <f aca="false">IF(B1266="","",YEAR(B1266))</f>
        <v/>
      </c>
    </row>
    <row r="1267" customFormat="false" ht="15" hidden="false" customHeight="false" outlineLevel="0" collapsed="false">
      <c r="B1267" s="21"/>
      <c r="C1267" s="16"/>
      <c r="D1267" s="16"/>
      <c r="E1267" s="17"/>
      <c r="F1267" s="22" t="str">
        <f aca="false">IF(D1267="","",IFERROR(INDEX(Setup!$C$8:$C$37,MATCH(D1267,Setup!$B$8:$B$37,0)),"Check category"))</f>
        <v/>
      </c>
      <c r="G1267" s="23" t="str">
        <f aca="false">IF(B1267="","",MONTH(B1267))</f>
        <v/>
      </c>
      <c r="H1267" s="23" t="str">
        <f aca="false">IF(B1267="","",YEAR(B1267))</f>
        <v/>
      </c>
    </row>
    <row r="1268" customFormat="false" ht="15" hidden="false" customHeight="false" outlineLevel="0" collapsed="false">
      <c r="B1268" s="21"/>
      <c r="C1268" s="16"/>
      <c r="D1268" s="16"/>
      <c r="E1268" s="17"/>
      <c r="F1268" s="22" t="str">
        <f aca="false">IF(D1268="","",IFERROR(INDEX(Setup!$C$8:$C$37,MATCH(D1268,Setup!$B$8:$B$37,0)),"Check category"))</f>
        <v/>
      </c>
      <c r="G1268" s="23" t="str">
        <f aca="false">IF(B1268="","",MONTH(B1268))</f>
        <v/>
      </c>
      <c r="H1268" s="23" t="str">
        <f aca="false">IF(B1268="","",YEAR(B1268))</f>
        <v/>
      </c>
    </row>
    <row r="1269" customFormat="false" ht="15" hidden="false" customHeight="false" outlineLevel="0" collapsed="false">
      <c r="B1269" s="21"/>
      <c r="C1269" s="16"/>
      <c r="D1269" s="16"/>
      <c r="E1269" s="17"/>
      <c r="F1269" s="22" t="str">
        <f aca="false">IF(D1269="","",IFERROR(INDEX(Setup!$C$8:$C$37,MATCH(D1269,Setup!$B$8:$B$37,0)),"Check category"))</f>
        <v/>
      </c>
      <c r="G1269" s="23" t="str">
        <f aca="false">IF(B1269="","",MONTH(B1269))</f>
        <v/>
      </c>
      <c r="H1269" s="23" t="str">
        <f aca="false">IF(B1269="","",YEAR(B1269))</f>
        <v/>
      </c>
    </row>
    <row r="1270" customFormat="false" ht="15" hidden="false" customHeight="false" outlineLevel="0" collapsed="false">
      <c r="B1270" s="21"/>
      <c r="C1270" s="16"/>
      <c r="D1270" s="16"/>
      <c r="E1270" s="17"/>
      <c r="F1270" s="22" t="str">
        <f aca="false">IF(D1270="","",IFERROR(INDEX(Setup!$C$8:$C$37,MATCH(D1270,Setup!$B$8:$B$37,0)),"Check category"))</f>
        <v/>
      </c>
      <c r="G1270" s="23" t="str">
        <f aca="false">IF(B1270="","",MONTH(B1270))</f>
        <v/>
      </c>
      <c r="H1270" s="23" t="str">
        <f aca="false">IF(B1270="","",YEAR(B1270))</f>
        <v/>
      </c>
    </row>
    <row r="1271" customFormat="false" ht="15" hidden="false" customHeight="false" outlineLevel="0" collapsed="false">
      <c r="B1271" s="21"/>
      <c r="C1271" s="16"/>
      <c r="D1271" s="16"/>
      <c r="E1271" s="17"/>
      <c r="F1271" s="22" t="str">
        <f aca="false">IF(D1271="","",IFERROR(INDEX(Setup!$C$8:$C$37,MATCH(D1271,Setup!$B$8:$B$37,0)),"Check category"))</f>
        <v/>
      </c>
      <c r="G1271" s="23" t="str">
        <f aca="false">IF(B1271="","",MONTH(B1271))</f>
        <v/>
      </c>
      <c r="H1271" s="23" t="str">
        <f aca="false">IF(B1271="","",YEAR(B1271))</f>
        <v/>
      </c>
    </row>
    <row r="1272" customFormat="false" ht="15" hidden="false" customHeight="false" outlineLevel="0" collapsed="false">
      <c r="B1272" s="21"/>
      <c r="C1272" s="16"/>
      <c r="D1272" s="16"/>
      <c r="E1272" s="17"/>
      <c r="F1272" s="22" t="str">
        <f aca="false">IF(D1272="","",IFERROR(INDEX(Setup!$C$8:$C$37,MATCH(D1272,Setup!$B$8:$B$37,0)),"Check category"))</f>
        <v/>
      </c>
      <c r="G1272" s="23" t="str">
        <f aca="false">IF(B1272="","",MONTH(B1272))</f>
        <v/>
      </c>
      <c r="H1272" s="23" t="str">
        <f aca="false">IF(B1272="","",YEAR(B1272))</f>
        <v/>
      </c>
    </row>
    <row r="1273" customFormat="false" ht="15" hidden="false" customHeight="false" outlineLevel="0" collapsed="false">
      <c r="B1273" s="21"/>
      <c r="C1273" s="16"/>
      <c r="D1273" s="16"/>
      <c r="E1273" s="17"/>
      <c r="F1273" s="22" t="str">
        <f aca="false">IF(D1273="","",IFERROR(INDEX(Setup!$C$8:$C$37,MATCH(D1273,Setup!$B$8:$B$37,0)),"Check category"))</f>
        <v/>
      </c>
      <c r="G1273" s="23" t="str">
        <f aca="false">IF(B1273="","",MONTH(B1273))</f>
        <v/>
      </c>
      <c r="H1273" s="23" t="str">
        <f aca="false">IF(B1273="","",YEAR(B1273))</f>
        <v/>
      </c>
    </row>
    <row r="1274" customFormat="false" ht="15" hidden="false" customHeight="false" outlineLevel="0" collapsed="false">
      <c r="B1274" s="21"/>
      <c r="C1274" s="16"/>
      <c r="D1274" s="16"/>
      <c r="E1274" s="17"/>
      <c r="F1274" s="22" t="str">
        <f aca="false">IF(D1274="","",IFERROR(INDEX(Setup!$C$8:$C$37,MATCH(D1274,Setup!$B$8:$B$37,0)),"Check category"))</f>
        <v/>
      </c>
      <c r="G1274" s="23" t="str">
        <f aca="false">IF(B1274="","",MONTH(B1274))</f>
        <v/>
      </c>
      <c r="H1274" s="23" t="str">
        <f aca="false">IF(B1274="","",YEAR(B1274))</f>
        <v/>
      </c>
    </row>
    <row r="1275" customFormat="false" ht="15" hidden="false" customHeight="false" outlineLevel="0" collapsed="false">
      <c r="B1275" s="21"/>
      <c r="C1275" s="16"/>
      <c r="D1275" s="16"/>
      <c r="E1275" s="17"/>
      <c r="F1275" s="22" t="str">
        <f aca="false">IF(D1275="","",IFERROR(INDEX(Setup!$C$8:$C$37,MATCH(D1275,Setup!$B$8:$B$37,0)),"Check category"))</f>
        <v/>
      </c>
      <c r="G1275" s="23" t="str">
        <f aca="false">IF(B1275="","",MONTH(B1275))</f>
        <v/>
      </c>
      <c r="H1275" s="23" t="str">
        <f aca="false">IF(B1275="","",YEAR(B1275))</f>
        <v/>
      </c>
    </row>
    <row r="1276" customFormat="false" ht="15" hidden="false" customHeight="false" outlineLevel="0" collapsed="false">
      <c r="B1276" s="21"/>
      <c r="C1276" s="16"/>
      <c r="D1276" s="16"/>
      <c r="E1276" s="17"/>
      <c r="F1276" s="22" t="str">
        <f aca="false">IF(D1276="","",IFERROR(INDEX(Setup!$C$8:$C$37,MATCH(D1276,Setup!$B$8:$B$37,0)),"Check category"))</f>
        <v/>
      </c>
      <c r="G1276" s="23" t="str">
        <f aca="false">IF(B1276="","",MONTH(B1276))</f>
        <v/>
      </c>
      <c r="H1276" s="23" t="str">
        <f aca="false">IF(B1276="","",YEAR(B1276))</f>
        <v/>
      </c>
    </row>
    <row r="1277" customFormat="false" ht="15" hidden="false" customHeight="false" outlineLevel="0" collapsed="false">
      <c r="B1277" s="21"/>
      <c r="C1277" s="16"/>
      <c r="D1277" s="16"/>
      <c r="E1277" s="17"/>
      <c r="F1277" s="22" t="str">
        <f aca="false">IF(D1277="","",IFERROR(INDEX(Setup!$C$8:$C$37,MATCH(D1277,Setup!$B$8:$B$37,0)),"Check category"))</f>
        <v/>
      </c>
      <c r="G1277" s="23" t="str">
        <f aca="false">IF(B1277="","",MONTH(B1277))</f>
        <v/>
      </c>
      <c r="H1277" s="23" t="str">
        <f aca="false">IF(B1277="","",YEAR(B1277))</f>
        <v/>
      </c>
    </row>
    <row r="1278" customFormat="false" ht="15" hidden="false" customHeight="false" outlineLevel="0" collapsed="false">
      <c r="B1278" s="21"/>
      <c r="C1278" s="16"/>
      <c r="D1278" s="16"/>
      <c r="E1278" s="17"/>
      <c r="F1278" s="22" t="str">
        <f aca="false">IF(D1278="","",IFERROR(INDEX(Setup!$C$8:$C$37,MATCH(D1278,Setup!$B$8:$B$37,0)),"Check category"))</f>
        <v/>
      </c>
      <c r="G1278" s="23" t="str">
        <f aca="false">IF(B1278="","",MONTH(B1278))</f>
        <v/>
      </c>
      <c r="H1278" s="23" t="str">
        <f aca="false">IF(B1278="","",YEAR(B1278))</f>
        <v/>
      </c>
    </row>
    <row r="1279" customFormat="false" ht="15" hidden="false" customHeight="false" outlineLevel="0" collapsed="false">
      <c r="B1279" s="21"/>
      <c r="C1279" s="16"/>
      <c r="D1279" s="16"/>
      <c r="E1279" s="17"/>
      <c r="F1279" s="22" t="str">
        <f aca="false">IF(D1279="","",IFERROR(INDEX(Setup!$C$8:$C$37,MATCH(D1279,Setup!$B$8:$B$37,0)),"Check category"))</f>
        <v/>
      </c>
      <c r="G1279" s="23" t="str">
        <f aca="false">IF(B1279="","",MONTH(B1279))</f>
        <v/>
      </c>
      <c r="H1279" s="23" t="str">
        <f aca="false">IF(B1279="","",YEAR(B1279))</f>
        <v/>
      </c>
    </row>
    <row r="1280" customFormat="false" ht="15" hidden="false" customHeight="false" outlineLevel="0" collapsed="false">
      <c r="B1280" s="21"/>
      <c r="C1280" s="16"/>
      <c r="D1280" s="16"/>
      <c r="E1280" s="17"/>
      <c r="F1280" s="22" t="str">
        <f aca="false">IF(D1280="","",IFERROR(INDEX(Setup!$C$8:$C$37,MATCH(D1280,Setup!$B$8:$B$37,0)),"Check category"))</f>
        <v/>
      </c>
      <c r="G1280" s="23" t="str">
        <f aca="false">IF(B1280="","",MONTH(B1280))</f>
        <v/>
      </c>
      <c r="H1280" s="23" t="str">
        <f aca="false">IF(B1280="","",YEAR(B1280))</f>
        <v/>
      </c>
    </row>
    <row r="1281" customFormat="false" ht="15" hidden="false" customHeight="false" outlineLevel="0" collapsed="false">
      <c r="B1281" s="21"/>
      <c r="C1281" s="16"/>
      <c r="D1281" s="16"/>
      <c r="E1281" s="17"/>
      <c r="F1281" s="22" t="str">
        <f aca="false">IF(D1281="","",IFERROR(INDEX(Setup!$C$8:$C$37,MATCH(D1281,Setup!$B$8:$B$37,0)),"Check category"))</f>
        <v/>
      </c>
      <c r="G1281" s="23" t="str">
        <f aca="false">IF(B1281="","",MONTH(B1281))</f>
        <v/>
      </c>
      <c r="H1281" s="23" t="str">
        <f aca="false">IF(B1281="","",YEAR(B1281))</f>
        <v/>
      </c>
    </row>
    <row r="1282" customFormat="false" ht="15" hidden="false" customHeight="false" outlineLevel="0" collapsed="false">
      <c r="B1282" s="21"/>
      <c r="C1282" s="16"/>
      <c r="D1282" s="16"/>
      <c r="E1282" s="17"/>
      <c r="F1282" s="22" t="str">
        <f aca="false">IF(D1282="","",IFERROR(INDEX(Setup!$C$8:$C$37,MATCH(D1282,Setup!$B$8:$B$37,0)),"Check category"))</f>
        <v/>
      </c>
      <c r="G1282" s="23" t="str">
        <f aca="false">IF(B1282="","",MONTH(B1282))</f>
        <v/>
      </c>
      <c r="H1282" s="23" t="str">
        <f aca="false">IF(B1282="","",YEAR(B1282))</f>
        <v/>
      </c>
    </row>
    <row r="1283" customFormat="false" ht="15" hidden="false" customHeight="false" outlineLevel="0" collapsed="false">
      <c r="B1283" s="21"/>
      <c r="C1283" s="16"/>
      <c r="D1283" s="16"/>
      <c r="E1283" s="17"/>
      <c r="F1283" s="22" t="str">
        <f aca="false">IF(D1283="","",IFERROR(INDEX(Setup!$C$8:$C$37,MATCH(D1283,Setup!$B$8:$B$37,0)),"Check category"))</f>
        <v/>
      </c>
      <c r="G1283" s="23" t="str">
        <f aca="false">IF(B1283="","",MONTH(B1283))</f>
        <v/>
      </c>
      <c r="H1283" s="23" t="str">
        <f aca="false">IF(B1283="","",YEAR(B1283))</f>
        <v/>
      </c>
    </row>
    <row r="1284" customFormat="false" ht="15" hidden="false" customHeight="false" outlineLevel="0" collapsed="false">
      <c r="B1284" s="21"/>
      <c r="C1284" s="16"/>
      <c r="D1284" s="16"/>
      <c r="E1284" s="17"/>
      <c r="F1284" s="22" t="str">
        <f aca="false">IF(D1284="","",IFERROR(INDEX(Setup!$C$8:$C$37,MATCH(D1284,Setup!$B$8:$B$37,0)),"Check category"))</f>
        <v/>
      </c>
      <c r="G1284" s="23" t="str">
        <f aca="false">IF(B1284="","",MONTH(B1284))</f>
        <v/>
      </c>
      <c r="H1284" s="23" t="str">
        <f aca="false">IF(B1284="","",YEAR(B1284))</f>
        <v/>
      </c>
    </row>
    <row r="1285" customFormat="false" ht="15" hidden="false" customHeight="false" outlineLevel="0" collapsed="false">
      <c r="B1285" s="21"/>
      <c r="C1285" s="16"/>
      <c r="D1285" s="16"/>
      <c r="E1285" s="17"/>
      <c r="F1285" s="22" t="str">
        <f aca="false">IF(D1285="","",IFERROR(INDEX(Setup!$C$8:$C$37,MATCH(D1285,Setup!$B$8:$B$37,0)),"Check category"))</f>
        <v/>
      </c>
      <c r="G1285" s="23" t="str">
        <f aca="false">IF(B1285="","",MONTH(B1285))</f>
        <v/>
      </c>
      <c r="H1285" s="23" t="str">
        <f aca="false">IF(B1285="","",YEAR(B1285))</f>
        <v/>
      </c>
    </row>
    <row r="1286" customFormat="false" ht="15" hidden="false" customHeight="false" outlineLevel="0" collapsed="false">
      <c r="B1286" s="21"/>
      <c r="C1286" s="16"/>
      <c r="D1286" s="16"/>
      <c r="E1286" s="17"/>
      <c r="F1286" s="22" t="str">
        <f aca="false">IF(D1286="","",IFERROR(INDEX(Setup!$C$8:$C$37,MATCH(D1286,Setup!$B$8:$B$37,0)),"Check category"))</f>
        <v/>
      </c>
      <c r="G1286" s="23" t="str">
        <f aca="false">IF(B1286="","",MONTH(B1286))</f>
        <v/>
      </c>
      <c r="H1286" s="23" t="str">
        <f aca="false">IF(B1286="","",YEAR(B1286))</f>
        <v/>
      </c>
    </row>
    <row r="1287" customFormat="false" ht="15" hidden="false" customHeight="false" outlineLevel="0" collapsed="false">
      <c r="B1287" s="21"/>
      <c r="C1287" s="16"/>
      <c r="D1287" s="16"/>
      <c r="E1287" s="17"/>
      <c r="F1287" s="22" t="str">
        <f aca="false">IF(D1287="","",IFERROR(INDEX(Setup!$C$8:$C$37,MATCH(D1287,Setup!$B$8:$B$37,0)),"Check category"))</f>
        <v/>
      </c>
      <c r="G1287" s="23" t="str">
        <f aca="false">IF(B1287="","",MONTH(B1287))</f>
        <v/>
      </c>
      <c r="H1287" s="23" t="str">
        <f aca="false">IF(B1287="","",YEAR(B1287))</f>
        <v/>
      </c>
    </row>
    <row r="1288" customFormat="false" ht="15" hidden="false" customHeight="false" outlineLevel="0" collapsed="false">
      <c r="B1288" s="21"/>
      <c r="C1288" s="16"/>
      <c r="D1288" s="16"/>
      <c r="E1288" s="17"/>
      <c r="F1288" s="22" t="str">
        <f aca="false">IF(D1288="","",IFERROR(INDEX(Setup!$C$8:$C$37,MATCH(D1288,Setup!$B$8:$B$37,0)),"Check category"))</f>
        <v/>
      </c>
      <c r="G1288" s="23" t="str">
        <f aca="false">IF(B1288="","",MONTH(B1288))</f>
        <v/>
      </c>
      <c r="H1288" s="23" t="str">
        <f aca="false">IF(B1288="","",YEAR(B1288))</f>
        <v/>
      </c>
    </row>
    <row r="1289" customFormat="false" ht="15" hidden="false" customHeight="false" outlineLevel="0" collapsed="false">
      <c r="B1289" s="21"/>
      <c r="C1289" s="16"/>
      <c r="D1289" s="16"/>
      <c r="E1289" s="17"/>
      <c r="F1289" s="22" t="str">
        <f aca="false">IF(D1289="","",IFERROR(INDEX(Setup!$C$8:$C$37,MATCH(D1289,Setup!$B$8:$B$37,0)),"Check category"))</f>
        <v/>
      </c>
      <c r="G1289" s="23" t="str">
        <f aca="false">IF(B1289="","",MONTH(B1289))</f>
        <v/>
      </c>
      <c r="H1289" s="23" t="str">
        <f aca="false">IF(B1289="","",YEAR(B1289))</f>
        <v/>
      </c>
    </row>
    <row r="1290" customFormat="false" ht="15" hidden="false" customHeight="false" outlineLevel="0" collapsed="false">
      <c r="B1290" s="21"/>
      <c r="C1290" s="16"/>
      <c r="D1290" s="16"/>
      <c r="E1290" s="17"/>
      <c r="F1290" s="22" t="str">
        <f aca="false">IF(D1290="","",IFERROR(INDEX(Setup!$C$8:$C$37,MATCH(D1290,Setup!$B$8:$B$37,0)),"Check category"))</f>
        <v/>
      </c>
      <c r="G1290" s="23" t="str">
        <f aca="false">IF(B1290="","",MONTH(B1290))</f>
        <v/>
      </c>
      <c r="H1290" s="23" t="str">
        <f aca="false">IF(B1290="","",YEAR(B1290))</f>
        <v/>
      </c>
    </row>
    <row r="1291" customFormat="false" ht="15" hidden="false" customHeight="false" outlineLevel="0" collapsed="false">
      <c r="B1291" s="21"/>
      <c r="C1291" s="16"/>
      <c r="D1291" s="16"/>
      <c r="E1291" s="17"/>
      <c r="F1291" s="22" t="str">
        <f aca="false">IF(D1291="","",IFERROR(INDEX(Setup!$C$8:$C$37,MATCH(D1291,Setup!$B$8:$B$37,0)),"Check category"))</f>
        <v/>
      </c>
      <c r="G1291" s="23" t="str">
        <f aca="false">IF(B1291="","",MONTH(B1291))</f>
        <v/>
      </c>
      <c r="H1291" s="23" t="str">
        <f aca="false">IF(B1291="","",YEAR(B1291))</f>
        <v/>
      </c>
    </row>
    <row r="1292" customFormat="false" ht="15" hidden="false" customHeight="false" outlineLevel="0" collapsed="false">
      <c r="B1292" s="21"/>
      <c r="C1292" s="16"/>
      <c r="D1292" s="16"/>
      <c r="E1292" s="17"/>
      <c r="F1292" s="22" t="str">
        <f aca="false">IF(D1292="","",IFERROR(INDEX(Setup!$C$8:$C$37,MATCH(D1292,Setup!$B$8:$B$37,0)),"Check category"))</f>
        <v/>
      </c>
      <c r="G1292" s="23" t="str">
        <f aca="false">IF(B1292="","",MONTH(B1292))</f>
        <v/>
      </c>
      <c r="H1292" s="23" t="str">
        <f aca="false">IF(B1292="","",YEAR(B1292))</f>
        <v/>
      </c>
    </row>
    <row r="1293" customFormat="false" ht="15" hidden="false" customHeight="false" outlineLevel="0" collapsed="false">
      <c r="B1293" s="21"/>
      <c r="C1293" s="16"/>
      <c r="D1293" s="16"/>
      <c r="E1293" s="17"/>
      <c r="F1293" s="22" t="str">
        <f aca="false">IF(D1293="","",IFERROR(INDEX(Setup!$C$8:$C$37,MATCH(D1293,Setup!$B$8:$B$37,0)),"Check category"))</f>
        <v/>
      </c>
      <c r="G1293" s="23" t="str">
        <f aca="false">IF(B1293="","",MONTH(B1293))</f>
        <v/>
      </c>
      <c r="H1293" s="23" t="str">
        <f aca="false">IF(B1293="","",YEAR(B1293))</f>
        <v/>
      </c>
    </row>
    <row r="1294" customFormat="false" ht="15" hidden="false" customHeight="false" outlineLevel="0" collapsed="false">
      <c r="B1294" s="21"/>
      <c r="C1294" s="16"/>
      <c r="D1294" s="16"/>
      <c r="E1294" s="17"/>
      <c r="F1294" s="22" t="str">
        <f aca="false">IF(D1294="","",IFERROR(INDEX(Setup!$C$8:$C$37,MATCH(D1294,Setup!$B$8:$B$37,0)),"Check category"))</f>
        <v/>
      </c>
      <c r="G1294" s="23" t="str">
        <f aca="false">IF(B1294="","",MONTH(B1294))</f>
        <v/>
      </c>
      <c r="H1294" s="23" t="str">
        <f aca="false">IF(B1294="","",YEAR(B1294))</f>
        <v/>
      </c>
    </row>
    <row r="1295" customFormat="false" ht="15" hidden="false" customHeight="false" outlineLevel="0" collapsed="false">
      <c r="B1295" s="21"/>
      <c r="C1295" s="16"/>
      <c r="D1295" s="16"/>
      <c r="E1295" s="17"/>
      <c r="F1295" s="22" t="str">
        <f aca="false">IF(D1295="","",IFERROR(INDEX(Setup!$C$8:$C$37,MATCH(D1295,Setup!$B$8:$B$37,0)),"Check category"))</f>
        <v/>
      </c>
      <c r="G1295" s="23" t="str">
        <f aca="false">IF(B1295="","",MONTH(B1295))</f>
        <v/>
      </c>
      <c r="H1295" s="23" t="str">
        <f aca="false">IF(B1295="","",YEAR(B1295))</f>
        <v/>
      </c>
    </row>
    <row r="1296" customFormat="false" ht="15" hidden="false" customHeight="false" outlineLevel="0" collapsed="false">
      <c r="B1296" s="21"/>
      <c r="C1296" s="16"/>
      <c r="D1296" s="16"/>
      <c r="E1296" s="17"/>
      <c r="F1296" s="22" t="str">
        <f aca="false">IF(D1296="","",IFERROR(INDEX(Setup!$C$8:$C$37,MATCH(D1296,Setup!$B$8:$B$37,0)),"Check category"))</f>
        <v/>
      </c>
      <c r="G1296" s="23" t="str">
        <f aca="false">IF(B1296="","",MONTH(B1296))</f>
        <v/>
      </c>
      <c r="H1296" s="23" t="str">
        <f aca="false">IF(B1296="","",YEAR(B1296))</f>
        <v/>
      </c>
    </row>
    <row r="1297" customFormat="false" ht="15" hidden="false" customHeight="false" outlineLevel="0" collapsed="false">
      <c r="B1297" s="21"/>
      <c r="C1297" s="16"/>
      <c r="D1297" s="16"/>
      <c r="E1297" s="17"/>
      <c r="F1297" s="22" t="str">
        <f aca="false">IF(D1297="","",IFERROR(INDEX(Setup!$C$8:$C$37,MATCH(D1297,Setup!$B$8:$B$37,0)),"Check category"))</f>
        <v/>
      </c>
      <c r="G1297" s="23" t="str">
        <f aca="false">IF(B1297="","",MONTH(B1297))</f>
        <v/>
      </c>
      <c r="H1297" s="23" t="str">
        <f aca="false">IF(B1297="","",YEAR(B1297))</f>
        <v/>
      </c>
    </row>
    <row r="1298" customFormat="false" ht="15" hidden="false" customHeight="false" outlineLevel="0" collapsed="false">
      <c r="B1298" s="21"/>
      <c r="C1298" s="16"/>
      <c r="D1298" s="16"/>
      <c r="E1298" s="17"/>
      <c r="F1298" s="22" t="str">
        <f aca="false">IF(D1298="","",IFERROR(INDEX(Setup!$C$8:$C$37,MATCH(D1298,Setup!$B$8:$B$37,0)),"Check category"))</f>
        <v/>
      </c>
      <c r="G1298" s="23" t="str">
        <f aca="false">IF(B1298="","",MONTH(B1298))</f>
        <v/>
      </c>
      <c r="H1298" s="23" t="str">
        <f aca="false">IF(B1298="","",YEAR(B1298))</f>
        <v/>
      </c>
    </row>
    <row r="1299" customFormat="false" ht="15" hidden="false" customHeight="false" outlineLevel="0" collapsed="false">
      <c r="B1299" s="21"/>
      <c r="C1299" s="16"/>
      <c r="D1299" s="16"/>
      <c r="E1299" s="17"/>
      <c r="F1299" s="22" t="str">
        <f aca="false">IF(D1299="","",IFERROR(INDEX(Setup!$C$8:$C$37,MATCH(D1299,Setup!$B$8:$B$37,0)),"Check category"))</f>
        <v/>
      </c>
      <c r="G1299" s="23" t="str">
        <f aca="false">IF(B1299="","",MONTH(B1299))</f>
        <v/>
      </c>
      <c r="H1299" s="23" t="str">
        <f aca="false">IF(B1299="","",YEAR(B1299))</f>
        <v/>
      </c>
    </row>
    <row r="1300" customFormat="false" ht="15" hidden="false" customHeight="false" outlineLevel="0" collapsed="false">
      <c r="B1300" s="21"/>
      <c r="C1300" s="16"/>
      <c r="D1300" s="16"/>
      <c r="E1300" s="17"/>
      <c r="F1300" s="22" t="str">
        <f aca="false">IF(D1300="","",IFERROR(INDEX(Setup!$C$8:$C$37,MATCH(D1300,Setup!$B$8:$B$37,0)),"Check category"))</f>
        <v/>
      </c>
      <c r="G1300" s="23" t="str">
        <f aca="false">IF(B1300="","",MONTH(B1300))</f>
        <v/>
      </c>
      <c r="H1300" s="23" t="str">
        <f aca="false">IF(B1300="","",YEAR(B1300))</f>
        <v/>
      </c>
    </row>
    <row r="1301" customFormat="false" ht="15" hidden="false" customHeight="false" outlineLevel="0" collapsed="false">
      <c r="B1301" s="21"/>
      <c r="C1301" s="16"/>
      <c r="D1301" s="16"/>
      <c r="E1301" s="17"/>
      <c r="F1301" s="22" t="str">
        <f aca="false">IF(D1301="","",IFERROR(INDEX(Setup!$C$8:$C$37,MATCH(D1301,Setup!$B$8:$B$37,0)),"Check category"))</f>
        <v/>
      </c>
      <c r="G1301" s="23" t="str">
        <f aca="false">IF(B1301="","",MONTH(B1301))</f>
        <v/>
      </c>
      <c r="H1301" s="23" t="str">
        <f aca="false">IF(B1301="","",YEAR(B1301))</f>
        <v/>
      </c>
    </row>
    <row r="1302" customFormat="false" ht="15" hidden="false" customHeight="false" outlineLevel="0" collapsed="false">
      <c r="B1302" s="21"/>
      <c r="C1302" s="16"/>
      <c r="D1302" s="16"/>
      <c r="E1302" s="17"/>
      <c r="F1302" s="22" t="str">
        <f aca="false">IF(D1302="","",IFERROR(INDEX(Setup!$C$8:$C$37,MATCH(D1302,Setup!$B$8:$B$37,0)),"Check category"))</f>
        <v/>
      </c>
      <c r="G1302" s="23" t="str">
        <f aca="false">IF(B1302="","",MONTH(B1302))</f>
        <v/>
      </c>
      <c r="H1302" s="23" t="str">
        <f aca="false">IF(B1302="","",YEAR(B1302))</f>
        <v/>
      </c>
    </row>
    <row r="1303" customFormat="false" ht="15" hidden="false" customHeight="false" outlineLevel="0" collapsed="false">
      <c r="B1303" s="21"/>
      <c r="C1303" s="16"/>
      <c r="D1303" s="16"/>
      <c r="E1303" s="17"/>
      <c r="F1303" s="22" t="str">
        <f aca="false">IF(D1303="","",IFERROR(INDEX(Setup!$C$8:$C$37,MATCH(D1303,Setup!$B$8:$B$37,0)),"Check category"))</f>
        <v/>
      </c>
      <c r="G1303" s="23" t="str">
        <f aca="false">IF(B1303="","",MONTH(B1303))</f>
        <v/>
      </c>
      <c r="H1303" s="23" t="str">
        <f aca="false">IF(B1303="","",YEAR(B1303))</f>
        <v/>
      </c>
    </row>
    <row r="1304" customFormat="false" ht="15" hidden="false" customHeight="false" outlineLevel="0" collapsed="false">
      <c r="B1304" s="21"/>
      <c r="C1304" s="16"/>
      <c r="D1304" s="16"/>
      <c r="E1304" s="17"/>
      <c r="F1304" s="22" t="str">
        <f aca="false">IF(D1304="","",IFERROR(INDEX(Setup!$C$8:$C$37,MATCH(D1304,Setup!$B$8:$B$37,0)),"Check category"))</f>
        <v/>
      </c>
      <c r="G1304" s="23" t="str">
        <f aca="false">IF(B1304="","",MONTH(B1304))</f>
        <v/>
      </c>
      <c r="H1304" s="23" t="str">
        <f aca="false">IF(B1304="","",YEAR(B1304))</f>
        <v/>
      </c>
    </row>
    <row r="1305" customFormat="false" ht="15" hidden="false" customHeight="false" outlineLevel="0" collapsed="false">
      <c r="B1305" s="21"/>
      <c r="C1305" s="16"/>
      <c r="D1305" s="16"/>
      <c r="E1305" s="17"/>
      <c r="F1305" s="22" t="str">
        <f aca="false">IF(D1305="","",IFERROR(INDEX(Setup!$C$8:$C$37,MATCH(D1305,Setup!$B$8:$B$37,0)),"Check category"))</f>
        <v/>
      </c>
      <c r="G1305" s="23" t="str">
        <f aca="false">IF(B1305="","",MONTH(B1305))</f>
        <v/>
      </c>
      <c r="H1305" s="23" t="str">
        <f aca="false">IF(B1305="","",YEAR(B1305))</f>
        <v/>
      </c>
    </row>
    <row r="1306" customFormat="false" ht="15" hidden="false" customHeight="false" outlineLevel="0" collapsed="false">
      <c r="B1306" s="21"/>
      <c r="C1306" s="16"/>
      <c r="D1306" s="16"/>
      <c r="E1306" s="17"/>
      <c r="F1306" s="22" t="str">
        <f aca="false">IF(D1306="","",IFERROR(INDEX(Setup!$C$8:$C$37,MATCH(D1306,Setup!$B$8:$B$37,0)),"Check category"))</f>
        <v/>
      </c>
      <c r="G1306" s="23" t="str">
        <f aca="false">IF(B1306="","",MONTH(B1306))</f>
        <v/>
      </c>
      <c r="H1306" s="23" t="str">
        <f aca="false">IF(B1306="","",YEAR(B1306))</f>
        <v/>
      </c>
    </row>
    <row r="1307" customFormat="false" ht="15" hidden="false" customHeight="false" outlineLevel="0" collapsed="false">
      <c r="B1307" s="21"/>
      <c r="C1307" s="16"/>
      <c r="D1307" s="16"/>
      <c r="E1307" s="17"/>
      <c r="F1307" s="22" t="str">
        <f aca="false">IF(D1307="","",IFERROR(INDEX(Setup!$C$8:$C$37,MATCH(D1307,Setup!$B$8:$B$37,0)),"Check category"))</f>
        <v/>
      </c>
      <c r="G1307" s="23" t="str">
        <f aca="false">IF(B1307="","",MONTH(B1307))</f>
        <v/>
      </c>
      <c r="H1307" s="23" t="str">
        <f aca="false">IF(B1307="","",YEAR(B1307))</f>
        <v/>
      </c>
    </row>
    <row r="1308" customFormat="false" ht="15" hidden="false" customHeight="false" outlineLevel="0" collapsed="false">
      <c r="B1308" s="21"/>
      <c r="C1308" s="16"/>
      <c r="D1308" s="16"/>
      <c r="E1308" s="17"/>
      <c r="F1308" s="22" t="str">
        <f aca="false">IF(D1308="","",IFERROR(INDEX(Setup!$C$8:$C$37,MATCH(D1308,Setup!$B$8:$B$37,0)),"Check category"))</f>
        <v/>
      </c>
      <c r="G1308" s="23" t="str">
        <f aca="false">IF(B1308="","",MONTH(B1308))</f>
        <v/>
      </c>
      <c r="H1308" s="23" t="str">
        <f aca="false">IF(B1308="","",YEAR(B1308))</f>
        <v/>
      </c>
    </row>
    <row r="1309" customFormat="false" ht="15" hidden="false" customHeight="false" outlineLevel="0" collapsed="false">
      <c r="B1309" s="21"/>
      <c r="C1309" s="16"/>
      <c r="D1309" s="16"/>
      <c r="E1309" s="17"/>
      <c r="F1309" s="22" t="str">
        <f aca="false">IF(D1309="","",IFERROR(INDEX(Setup!$C$8:$C$37,MATCH(D1309,Setup!$B$8:$B$37,0)),"Check category"))</f>
        <v/>
      </c>
      <c r="G1309" s="23" t="str">
        <f aca="false">IF(B1309="","",MONTH(B1309))</f>
        <v/>
      </c>
      <c r="H1309" s="23" t="str">
        <f aca="false">IF(B1309="","",YEAR(B1309))</f>
        <v/>
      </c>
    </row>
    <row r="1310" customFormat="false" ht="15" hidden="false" customHeight="false" outlineLevel="0" collapsed="false">
      <c r="B1310" s="21"/>
      <c r="C1310" s="16"/>
      <c r="D1310" s="16"/>
      <c r="E1310" s="17"/>
      <c r="F1310" s="22" t="str">
        <f aca="false">IF(D1310="","",IFERROR(INDEX(Setup!$C$8:$C$37,MATCH(D1310,Setup!$B$8:$B$37,0)),"Check category"))</f>
        <v/>
      </c>
      <c r="G1310" s="23" t="str">
        <f aca="false">IF(B1310="","",MONTH(B1310))</f>
        <v/>
      </c>
      <c r="H1310" s="23" t="str">
        <f aca="false">IF(B1310="","",YEAR(B1310))</f>
        <v/>
      </c>
    </row>
    <row r="1311" customFormat="false" ht="15" hidden="false" customHeight="false" outlineLevel="0" collapsed="false">
      <c r="B1311" s="21"/>
      <c r="C1311" s="16"/>
      <c r="D1311" s="16"/>
      <c r="E1311" s="17"/>
      <c r="F1311" s="22" t="str">
        <f aca="false">IF(D1311="","",IFERROR(INDEX(Setup!$C$8:$C$37,MATCH(D1311,Setup!$B$8:$B$37,0)),"Check category"))</f>
        <v/>
      </c>
      <c r="G1311" s="23" t="str">
        <f aca="false">IF(B1311="","",MONTH(B1311))</f>
        <v/>
      </c>
      <c r="H1311" s="23" t="str">
        <f aca="false">IF(B1311="","",YEAR(B1311))</f>
        <v/>
      </c>
    </row>
    <row r="1312" customFormat="false" ht="15" hidden="false" customHeight="false" outlineLevel="0" collapsed="false">
      <c r="B1312" s="21"/>
      <c r="C1312" s="16"/>
      <c r="D1312" s="16"/>
      <c r="E1312" s="17"/>
      <c r="F1312" s="22" t="str">
        <f aca="false">IF(D1312="","",IFERROR(INDEX(Setup!$C$8:$C$37,MATCH(D1312,Setup!$B$8:$B$37,0)),"Check category"))</f>
        <v/>
      </c>
      <c r="G1312" s="23" t="str">
        <f aca="false">IF(B1312="","",MONTH(B1312))</f>
        <v/>
      </c>
      <c r="H1312" s="23" t="str">
        <f aca="false">IF(B1312="","",YEAR(B1312))</f>
        <v/>
      </c>
    </row>
    <row r="1313" customFormat="false" ht="15" hidden="false" customHeight="false" outlineLevel="0" collapsed="false">
      <c r="B1313" s="21"/>
      <c r="C1313" s="16"/>
      <c r="D1313" s="16"/>
      <c r="E1313" s="17"/>
      <c r="F1313" s="22" t="str">
        <f aca="false">IF(D1313="","",IFERROR(INDEX(Setup!$C$8:$C$37,MATCH(D1313,Setup!$B$8:$B$37,0)),"Check category"))</f>
        <v/>
      </c>
      <c r="G1313" s="23" t="str">
        <f aca="false">IF(B1313="","",MONTH(B1313))</f>
        <v/>
      </c>
      <c r="H1313" s="23" t="str">
        <f aca="false">IF(B1313="","",YEAR(B1313))</f>
        <v/>
      </c>
    </row>
    <row r="1314" customFormat="false" ht="15" hidden="false" customHeight="false" outlineLevel="0" collapsed="false">
      <c r="B1314" s="21"/>
      <c r="C1314" s="16"/>
      <c r="D1314" s="16"/>
      <c r="E1314" s="17"/>
      <c r="F1314" s="22" t="str">
        <f aca="false">IF(D1314="","",IFERROR(INDEX(Setup!$C$8:$C$37,MATCH(D1314,Setup!$B$8:$B$37,0)),"Check category"))</f>
        <v/>
      </c>
      <c r="G1314" s="23" t="str">
        <f aca="false">IF(B1314="","",MONTH(B1314))</f>
        <v/>
      </c>
      <c r="H1314" s="23" t="str">
        <f aca="false">IF(B1314="","",YEAR(B1314))</f>
        <v/>
      </c>
    </row>
    <row r="1315" customFormat="false" ht="15" hidden="false" customHeight="false" outlineLevel="0" collapsed="false">
      <c r="B1315" s="21"/>
      <c r="C1315" s="16"/>
      <c r="D1315" s="16"/>
      <c r="E1315" s="17"/>
      <c r="F1315" s="22" t="str">
        <f aca="false">IF(D1315="","",IFERROR(INDEX(Setup!$C$8:$C$37,MATCH(D1315,Setup!$B$8:$B$37,0)),"Check category"))</f>
        <v/>
      </c>
      <c r="G1315" s="23" t="str">
        <f aca="false">IF(B1315="","",MONTH(B1315))</f>
        <v/>
      </c>
      <c r="H1315" s="23" t="str">
        <f aca="false">IF(B1315="","",YEAR(B1315))</f>
        <v/>
      </c>
    </row>
    <row r="1316" customFormat="false" ht="15" hidden="false" customHeight="false" outlineLevel="0" collapsed="false">
      <c r="B1316" s="21"/>
      <c r="C1316" s="16"/>
      <c r="D1316" s="16"/>
      <c r="E1316" s="17"/>
      <c r="F1316" s="22" t="str">
        <f aca="false">IF(D1316="","",IFERROR(INDEX(Setup!$C$8:$C$37,MATCH(D1316,Setup!$B$8:$B$37,0)),"Check category"))</f>
        <v/>
      </c>
      <c r="G1316" s="23" t="str">
        <f aca="false">IF(B1316="","",MONTH(B1316))</f>
        <v/>
      </c>
      <c r="H1316" s="23" t="str">
        <f aca="false">IF(B1316="","",YEAR(B1316))</f>
        <v/>
      </c>
    </row>
    <row r="1317" customFormat="false" ht="15" hidden="false" customHeight="false" outlineLevel="0" collapsed="false">
      <c r="B1317" s="21"/>
      <c r="C1317" s="16"/>
      <c r="D1317" s="16"/>
      <c r="E1317" s="17"/>
      <c r="F1317" s="22" t="str">
        <f aca="false">IF(D1317="","",IFERROR(INDEX(Setup!$C$8:$C$37,MATCH(D1317,Setup!$B$8:$B$37,0)),"Check category"))</f>
        <v/>
      </c>
      <c r="G1317" s="23" t="str">
        <f aca="false">IF(B1317="","",MONTH(B1317))</f>
        <v/>
      </c>
      <c r="H1317" s="23" t="str">
        <f aca="false">IF(B1317="","",YEAR(B1317))</f>
        <v/>
      </c>
    </row>
    <row r="1318" customFormat="false" ht="15" hidden="false" customHeight="false" outlineLevel="0" collapsed="false">
      <c r="B1318" s="21"/>
      <c r="C1318" s="16"/>
      <c r="D1318" s="16"/>
      <c r="E1318" s="17"/>
      <c r="F1318" s="22" t="str">
        <f aca="false">IF(D1318="","",IFERROR(INDEX(Setup!$C$8:$C$37,MATCH(D1318,Setup!$B$8:$B$37,0)),"Check category"))</f>
        <v/>
      </c>
      <c r="G1318" s="23" t="str">
        <f aca="false">IF(B1318="","",MONTH(B1318))</f>
        <v/>
      </c>
      <c r="H1318" s="23" t="str">
        <f aca="false">IF(B1318="","",YEAR(B1318))</f>
        <v/>
      </c>
    </row>
    <row r="1319" customFormat="false" ht="15" hidden="false" customHeight="false" outlineLevel="0" collapsed="false">
      <c r="B1319" s="21"/>
      <c r="C1319" s="16"/>
      <c r="D1319" s="16"/>
      <c r="E1319" s="17"/>
      <c r="F1319" s="22" t="str">
        <f aca="false">IF(D1319="","",IFERROR(INDEX(Setup!$C$8:$C$37,MATCH(D1319,Setup!$B$8:$B$37,0)),"Check category"))</f>
        <v/>
      </c>
      <c r="G1319" s="23" t="str">
        <f aca="false">IF(B1319="","",MONTH(B1319))</f>
        <v/>
      </c>
      <c r="H1319" s="23" t="str">
        <f aca="false">IF(B1319="","",YEAR(B1319))</f>
        <v/>
      </c>
    </row>
    <row r="1320" customFormat="false" ht="15" hidden="false" customHeight="false" outlineLevel="0" collapsed="false">
      <c r="B1320" s="21"/>
      <c r="C1320" s="16"/>
      <c r="D1320" s="16"/>
      <c r="E1320" s="17"/>
      <c r="F1320" s="22" t="str">
        <f aca="false">IF(D1320="","",IFERROR(INDEX(Setup!$C$8:$C$37,MATCH(D1320,Setup!$B$8:$B$37,0)),"Check category"))</f>
        <v/>
      </c>
      <c r="G1320" s="23" t="str">
        <f aca="false">IF(B1320="","",MONTH(B1320))</f>
        <v/>
      </c>
      <c r="H1320" s="23" t="str">
        <f aca="false">IF(B1320="","",YEAR(B1320))</f>
        <v/>
      </c>
    </row>
    <row r="1321" customFormat="false" ht="15" hidden="false" customHeight="false" outlineLevel="0" collapsed="false">
      <c r="B1321" s="21"/>
      <c r="C1321" s="16"/>
      <c r="D1321" s="16"/>
      <c r="E1321" s="17"/>
      <c r="F1321" s="22" t="str">
        <f aca="false">IF(D1321="","",IFERROR(INDEX(Setup!$C$8:$C$37,MATCH(D1321,Setup!$B$8:$B$37,0)),"Check category"))</f>
        <v/>
      </c>
      <c r="G1321" s="23" t="str">
        <f aca="false">IF(B1321="","",MONTH(B1321))</f>
        <v/>
      </c>
      <c r="H1321" s="23" t="str">
        <f aca="false">IF(B1321="","",YEAR(B1321))</f>
        <v/>
      </c>
    </row>
    <row r="1322" customFormat="false" ht="15" hidden="false" customHeight="false" outlineLevel="0" collapsed="false">
      <c r="B1322" s="21"/>
      <c r="C1322" s="16"/>
      <c r="D1322" s="16"/>
      <c r="E1322" s="17"/>
      <c r="F1322" s="22" t="str">
        <f aca="false">IF(D1322="","",IFERROR(INDEX(Setup!$C$8:$C$37,MATCH(D1322,Setup!$B$8:$B$37,0)),"Check category"))</f>
        <v/>
      </c>
      <c r="G1322" s="23" t="str">
        <f aca="false">IF(B1322="","",MONTH(B1322))</f>
        <v/>
      </c>
      <c r="H1322" s="23" t="str">
        <f aca="false">IF(B1322="","",YEAR(B1322))</f>
        <v/>
      </c>
    </row>
    <row r="1323" customFormat="false" ht="15" hidden="false" customHeight="false" outlineLevel="0" collapsed="false">
      <c r="B1323" s="21"/>
      <c r="C1323" s="16"/>
      <c r="D1323" s="16"/>
      <c r="E1323" s="17"/>
      <c r="F1323" s="22" t="str">
        <f aca="false">IF(D1323="","",IFERROR(INDEX(Setup!$C$8:$C$37,MATCH(D1323,Setup!$B$8:$B$37,0)),"Check category"))</f>
        <v/>
      </c>
      <c r="G1323" s="23" t="str">
        <f aca="false">IF(B1323="","",MONTH(B1323))</f>
        <v/>
      </c>
      <c r="H1323" s="23" t="str">
        <f aca="false">IF(B1323="","",YEAR(B1323))</f>
        <v/>
      </c>
    </row>
    <row r="1324" customFormat="false" ht="15" hidden="false" customHeight="false" outlineLevel="0" collapsed="false">
      <c r="B1324" s="21"/>
      <c r="C1324" s="16"/>
      <c r="D1324" s="16"/>
      <c r="E1324" s="17"/>
      <c r="F1324" s="22" t="str">
        <f aca="false">IF(D1324="","",IFERROR(INDEX(Setup!$C$8:$C$37,MATCH(D1324,Setup!$B$8:$B$37,0)),"Check category"))</f>
        <v/>
      </c>
      <c r="G1324" s="23" t="str">
        <f aca="false">IF(B1324="","",MONTH(B1324))</f>
        <v/>
      </c>
      <c r="H1324" s="23" t="str">
        <f aca="false">IF(B1324="","",YEAR(B1324))</f>
        <v/>
      </c>
    </row>
    <row r="1325" customFormat="false" ht="15" hidden="false" customHeight="false" outlineLevel="0" collapsed="false">
      <c r="B1325" s="21"/>
      <c r="C1325" s="16"/>
      <c r="D1325" s="16"/>
      <c r="E1325" s="17"/>
      <c r="F1325" s="22" t="str">
        <f aca="false">IF(D1325="","",IFERROR(INDEX(Setup!$C$8:$C$37,MATCH(D1325,Setup!$B$8:$B$37,0)),"Check category"))</f>
        <v/>
      </c>
      <c r="G1325" s="23" t="str">
        <f aca="false">IF(B1325="","",MONTH(B1325))</f>
        <v/>
      </c>
      <c r="H1325" s="23" t="str">
        <f aca="false">IF(B1325="","",YEAR(B1325))</f>
        <v/>
      </c>
    </row>
    <row r="1326" customFormat="false" ht="15" hidden="false" customHeight="false" outlineLevel="0" collapsed="false">
      <c r="B1326" s="21"/>
      <c r="C1326" s="16"/>
      <c r="D1326" s="16"/>
      <c r="E1326" s="17"/>
      <c r="F1326" s="22" t="str">
        <f aca="false">IF(D1326="","",IFERROR(INDEX(Setup!$C$8:$C$37,MATCH(D1326,Setup!$B$8:$B$37,0)),"Check category"))</f>
        <v/>
      </c>
      <c r="G1326" s="23" t="str">
        <f aca="false">IF(B1326="","",MONTH(B1326))</f>
        <v/>
      </c>
      <c r="H1326" s="23" t="str">
        <f aca="false">IF(B1326="","",YEAR(B1326))</f>
        <v/>
      </c>
    </row>
    <row r="1327" customFormat="false" ht="15" hidden="false" customHeight="false" outlineLevel="0" collapsed="false">
      <c r="B1327" s="21"/>
      <c r="C1327" s="16"/>
      <c r="D1327" s="16"/>
      <c r="E1327" s="17"/>
      <c r="F1327" s="22" t="str">
        <f aca="false">IF(D1327="","",IFERROR(INDEX(Setup!$C$8:$C$37,MATCH(D1327,Setup!$B$8:$B$37,0)),"Check category"))</f>
        <v/>
      </c>
      <c r="G1327" s="23" t="str">
        <f aca="false">IF(B1327="","",MONTH(B1327))</f>
        <v/>
      </c>
      <c r="H1327" s="23" t="str">
        <f aca="false">IF(B1327="","",YEAR(B1327))</f>
        <v/>
      </c>
    </row>
    <row r="1328" customFormat="false" ht="15" hidden="false" customHeight="false" outlineLevel="0" collapsed="false">
      <c r="B1328" s="21"/>
      <c r="C1328" s="16"/>
      <c r="D1328" s="16"/>
      <c r="E1328" s="17"/>
      <c r="F1328" s="22" t="str">
        <f aca="false">IF(D1328="","",IFERROR(INDEX(Setup!$C$8:$C$37,MATCH(D1328,Setup!$B$8:$B$37,0)),"Check category"))</f>
        <v/>
      </c>
      <c r="G1328" s="23" t="str">
        <f aca="false">IF(B1328="","",MONTH(B1328))</f>
        <v/>
      </c>
      <c r="H1328" s="23" t="str">
        <f aca="false">IF(B1328="","",YEAR(B1328))</f>
        <v/>
      </c>
    </row>
    <row r="1329" customFormat="false" ht="15" hidden="false" customHeight="false" outlineLevel="0" collapsed="false">
      <c r="B1329" s="21"/>
      <c r="C1329" s="16"/>
      <c r="D1329" s="16"/>
      <c r="E1329" s="17"/>
      <c r="F1329" s="22" t="str">
        <f aca="false">IF(D1329="","",IFERROR(INDEX(Setup!$C$8:$C$37,MATCH(D1329,Setup!$B$8:$B$37,0)),"Check category"))</f>
        <v/>
      </c>
      <c r="G1329" s="23" t="str">
        <f aca="false">IF(B1329="","",MONTH(B1329))</f>
        <v/>
      </c>
      <c r="H1329" s="23" t="str">
        <f aca="false">IF(B1329="","",YEAR(B1329))</f>
        <v/>
      </c>
    </row>
    <row r="1330" customFormat="false" ht="15" hidden="false" customHeight="false" outlineLevel="0" collapsed="false">
      <c r="B1330" s="21"/>
      <c r="C1330" s="16"/>
      <c r="D1330" s="16"/>
      <c r="E1330" s="17"/>
      <c r="F1330" s="22" t="str">
        <f aca="false">IF(D1330="","",IFERROR(INDEX(Setup!$C$8:$C$37,MATCH(D1330,Setup!$B$8:$B$37,0)),"Check category"))</f>
        <v/>
      </c>
      <c r="G1330" s="23" t="str">
        <f aca="false">IF(B1330="","",MONTH(B1330))</f>
        <v/>
      </c>
      <c r="H1330" s="23" t="str">
        <f aca="false">IF(B1330="","",YEAR(B1330))</f>
        <v/>
      </c>
    </row>
    <row r="1331" customFormat="false" ht="15" hidden="false" customHeight="false" outlineLevel="0" collapsed="false">
      <c r="B1331" s="21"/>
      <c r="C1331" s="16"/>
      <c r="D1331" s="16"/>
      <c r="E1331" s="17"/>
      <c r="F1331" s="22" t="str">
        <f aca="false">IF(D1331="","",IFERROR(INDEX(Setup!$C$8:$C$37,MATCH(D1331,Setup!$B$8:$B$37,0)),"Check category"))</f>
        <v/>
      </c>
      <c r="G1331" s="23" t="str">
        <f aca="false">IF(B1331="","",MONTH(B1331))</f>
        <v/>
      </c>
      <c r="H1331" s="23" t="str">
        <f aca="false">IF(B1331="","",YEAR(B1331))</f>
        <v/>
      </c>
    </row>
    <row r="1332" customFormat="false" ht="15" hidden="false" customHeight="false" outlineLevel="0" collapsed="false">
      <c r="B1332" s="21"/>
      <c r="C1332" s="16"/>
      <c r="D1332" s="16"/>
      <c r="E1332" s="17"/>
      <c r="F1332" s="22" t="str">
        <f aca="false">IF(D1332="","",IFERROR(INDEX(Setup!$C$8:$C$37,MATCH(D1332,Setup!$B$8:$B$37,0)),"Check category"))</f>
        <v/>
      </c>
      <c r="G1332" s="23" t="str">
        <f aca="false">IF(B1332="","",MONTH(B1332))</f>
        <v/>
      </c>
      <c r="H1332" s="23" t="str">
        <f aca="false">IF(B1332="","",YEAR(B1332))</f>
        <v/>
      </c>
    </row>
    <row r="1333" customFormat="false" ht="15" hidden="false" customHeight="false" outlineLevel="0" collapsed="false">
      <c r="B1333" s="21"/>
      <c r="C1333" s="16"/>
      <c r="D1333" s="16"/>
      <c r="E1333" s="17"/>
      <c r="F1333" s="22" t="str">
        <f aca="false">IF(D1333="","",IFERROR(INDEX(Setup!$C$8:$C$37,MATCH(D1333,Setup!$B$8:$B$37,0)),"Check category"))</f>
        <v/>
      </c>
      <c r="G1333" s="23" t="str">
        <f aca="false">IF(B1333="","",MONTH(B1333))</f>
        <v/>
      </c>
      <c r="H1333" s="23" t="str">
        <f aca="false">IF(B1333="","",YEAR(B1333))</f>
        <v/>
      </c>
    </row>
    <row r="1334" customFormat="false" ht="15" hidden="false" customHeight="false" outlineLevel="0" collapsed="false">
      <c r="B1334" s="21"/>
      <c r="C1334" s="16"/>
      <c r="D1334" s="16"/>
      <c r="E1334" s="17"/>
      <c r="F1334" s="22" t="str">
        <f aca="false">IF(D1334="","",IFERROR(INDEX(Setup!$C$8:$C$37,MATCH(D1334,Setup!$B$8:$B$37,0)),"Check category"))</f>
        <v/>
      </c>
      <c r="G1334" s="23" t="str">
        <f aca="false">IF(B1334="","",MONTH(B1334))</f>
        <v/>
      </c>
      <c r="H1334" s="23" t="str">
        <f aca="false">IF(B1334="","",YEAR(B1334))</f>
        <v/>
      </c>
    </row>
    <row r="1335" customFormat="false" ht="15" hidden="false" customHeight="false" outlineLevel="0" collapsed="false">
      <c r="B1335" s="21"/>
      <c r="C1335" s="16"/>
      <c r="D1335" s="16"/>
      <c r="E1335" s="17"/>
      <c r="F1335" s="22" t="str">
        <f aca="false">IF(D1335="","",IFERROR(INDEX(Setup!$C$8:$C$37,MATCH(D1335,Setup!$B$8:$B$37,0)),"Check category"))</f>
        <v/>
      </c>
      <c r="G1335" s="23" t="str">
        <f aca="false">IF(B1335="","",MONTH(B1335))</f>
        <v/>
      </c>
      <c r="H1335" s="23" t="str">
        <f aca="false">IF(B1335="","",YEAR(B1335))</f>
        <v/>
      </c>
    </row>
    <row r="1336" customFormat="false" ht="15" hidden="false" customHeight="false" outlineLevel="0" collapsed="false">
      <c r="B1336" s="21"/>
      <c r="C1336" s="16"/>
      <c r="D1336" s="16"/>
      <c r="E1336" s="17"/>
      <c r="F1336" s="22" t="str">
        <f aca="false">IF(D1336="","",IFERROR(INDEX(Setup!$C$8:$C$37,MATCH(D1336,Setup!$B$8:$B$37,0)),"Check category"))</f>
        <v/>
      </c>
      <c r="G1336" s="23" t="str">
        <f aca="false">IF(B1336="","",MONTH(B1336))</f>
        <v/>
      </c>
      <c r="H1336" s="23" t="str">
        <f aca="false">IF(B1336="","",YEAR(B1336))</f>
        <v/>
      </c>
    </row>
    <row r="1337" customFormat="false" ht="15" hidden="false" customHeight="false" outlineLevel="0" collapsed="false">
      <c r="B1337" s="21"/>
      <c r="C1337" s="16"/>
      <c r="D1337" s="16"/>
      <c r="E1337" s="17"/>
      <c r="F1337" s="22" t="str">
        <f aca="false">IF(D1337="","",IFERROR(INDEX(Setup!$C$8:$C$37,MATCH(D1337,Setup!$B$8:$B$37,0)),"Check category"))</f>
        <v/>
      </c>
      <c r="G1337" s="23" t="str">
        <f aca="false">IF(B1337="","",MONTH(B1337))</f>
        <v/>
      </c>
      <c r="H1337" s="23" t="str">
        <f aca="false">IF(B1337="","",YEAR(B1337))</f>
        <v/>
      </c>
    </row>
    <row r="1338" customFormat="false" ht="15" hidden="false" customHeight="false" outlineLevel="0" collapsed="false">
      <c r="B1338" s="21"/>
      <c r="C1338" s="16"/>
      <c r="D1338" s="16"/>
      <c r="E1338" s="17"/>
      <c r="F1338" s="22" t="str">
        <f aca="false">IF(D1338="","",IFERROR(INDEX(Setup!$C$8:$C$37,MATCH(D1338,Setup!$B$8:$B$37,0)),"Check category"))</f>
        <v/>
      </c>
      <c r="G1338" s="23" t="str">
        <f aca="false">IF(B1338="","",MONTH(B1338))</f>
        <v/>
      </c>
      <c r="H1338" s="23" t="str">
        <f aca="false">IF(B1338="","",YEAR(B1338))</f>
        <v/>
      </c>
    </row>
    <row r="1339" customFormat="false" ht="15" hidden="false" customHeight="false" outlineLevel="0" collapsed="false">
      <c r="B1339" s="21"/>
      <c r="C1339" s="16"/>
      <c r="D1339" s="16"/>
      <c r="E1339" s="17"/>
      <c r="F1339" s="22" t="str">
        <f aca="false">IF(D1339="","",IFERROR(INDEX(Setup!$C$8:$C$37,MATCH(D1339,Setup!$B$8:$B$37,0)),"Check category"))</f>
        <v/>
      </c>
      <c r="G1339" s="23" t="str">
        <f aca="false">IF(B1339="","",MONTH(B1339))</f>
        <v/>
      </c>
      <c r="H1339" s="23" t="str">
        <f aca="false">IF(B1339="","",YEAR(B1339))</f>
        <v/>
      </c>
    </row>
    <row r="1340" customFormat="false" ht="15" hidden="false" customHeight="false" outlineLevel="0" collapsed="false">
      <c r="B1340" s="21"/>
      <c r="C1340" s="16"/>
      <c r="D1340" s="16"/>
      <c r="E1340" s="17"/>
      <c r="F1340" s="22" t="str">
        <f aca="false">IF(D1340="","",IFERROR(INDEX(Setup!$C$8:$C$37,MATCH(D1340,Setup!$B$8:$B$37,0)),"Check category"))</f>
        <v/>
      </c>
      <c r="G1340" s="23" t="str">
        <f aca="false">IF(B1340="","",MONTH(B1340))</f>
        <v/>
      </c>
      <c r="H1340" s="23" t="str">
        <f aca="false">IF(B1340="","",YEAR(B1340))</f>
        <v/>
      </c>
    </row>
    <row r="1341" customFormat="false" ht="15" hidden="false" customHeight="false" outlineLevel="0" collapsed="false">
      <c r="B1341" s="21"/>
      <c r="C1341" s="16"/>
      <c r="D1341" s="16"/>
      <c r="E1341" s="17"/>
      <c r="F1341" s="22" t="str">
        <f aca="false">IF(D1341="","",IFERROR(INDEX(Setup!$C$8:$C$37,MATCH(D1341,Setup!$B$8:$B$37,0)),"Check category"))</f>
        <v/>
      </c>
      <c r="G1341" s="23" t="str">
        <f aca="false">IF(B1341="","",MONTH(B1341))</f>
        <v/>
      </c>
      <c r="H1341" s="23" t="str">
        <f aca="false">IF(B1341="","",YEAR(B1341))</f>
        <v/>
      </c>
    </row>
    <row r="1342" customFormat="false" ht="15" hidden="false" customHeight="false" outlineLevel="0" collapsed="false">
      <c r="B1342" s="21"/>
      <c r="C1342" s="16"/>
      <c r="D1342" s="16"/>
      <c r="E1342" s="17"/>
      <c r="F1342" s="22" t="str">
        <f aca="false">IF(D1342="","",IFERROR(INDEX(Setup!$C$8:$C$37,MATCH(D1342,Setup!$B$8:$B$37,0)),"Check category"))</f>
        <v/>
      </c>
      <c r="G1342" s="23" t="str">
        <f aca="false">IF(B1342="","",MONTH(B1342))</f>
        <v/>
      </c>
      <c r="H1342" s="23" t="str">
        <f aca="false">IF(B1342="","",YEAR(B1342))</f>
        <v/>
      </c>
    </row>
    <row r="1343" customFormat="false" ht="15" hidden="false" customHeight="false" outlineLevel="0" collapsed="false">
      <c r="B1343" s="21"/>
      <c r="C1343" s="16"/>
      <c r="D1343" s="16"/>
      <c r="E1343" s="17"/>
      <c r="F1343" s="22" t="str">
        <f aca="false">IF(D1343="","",IFERROR(INDEX(Setup!$C$8:$C$37,MATCH(D1343,Setup!$B$8:$B$37,0)),"Check category"))</f>
        <v/>
      </c>
      <c r="G1343" s="23" t="str">
        <f aca="false">IF(B1343="","",MONTH(B1343))</f>
        <v/>
      </c>
      <c r="H1343" s="23" t="str">
        <f aca="false">IF(B1343="","",YEAR(B1343))</f>
        <v/>
      </c>
    </row>
    <row r="1344" customFormat="false" ht="15" hidden="false" customHeight="false" outlineLevel="0" collapsed="false">
      <c r="B1344" s="21"/>
      <c r="C1344" s="16"/>
      <c r="D1344" s="16"/>
      <c r="E1344" s="17"/>
      <c r="F1344" s="22" t="str">
        <f aca="false">IF(D1344="","",IFERROR(INDEX(Setup!$C$8:$C$37,MATCH(D1344,Setup!$B$8:$B$37,0)),"Check category"))</f>
        <v/>
      </c>
      <c r="G1344" s="23" t="str">
        <f aca="false">IF(B1344="","",MONTH(B1344))</f>
        <v/>
      </c>
      <c r="H1344" s="23" t="str">
        <f aca="false">IF(B1344="","",YEAR(B1344))</f>
        <v/>
      </c>
    </row>
    <row r="1345" customFormat="false" ht="15" hidden="false" customHeight="false" outlineLevel="0" collapsed="false">
      <c r="B1345" s="21"/>
      <c r="C1345" s="16"/>
      <c r="D1345" s="16"/>
      <c r="E1345" s="17"/>
      <c r="F1345" s="22" t="str">
        <f aca="false">IF(D1345="","",IFERROR(INDEX(Setup!$C$8:$C$37,MATCH(D1345,Setup!$B$8:$B$37,0)),"Check category"))</f>
        <v/>
      </c>
      <c r="G1345" s="23" t="str">
        <f aca="false">IF(B1345="","",MONTH(B1345))</f>
        <v/>
      </c>
      <c r="H1345" s="23" t="str">
        <f aca="false">IF(B1345="","",YEAR(B1345))</f>
        <v/>
      </c>
    </row>
    <row r="1346" customFormat="false" ht="15" hidden="false" customHeight="false" outlineLevel="0" collapsed="false">
      <c r="B1346" s="21"/>
      <c r="C1346" s="16"/>
      <c r="D1346" s="16"/>
      <c r="E1346" s="17"/>
      <c r="F1346" s="22" t="str">
        <f aca="false">IF(D1346="","",IFERROR(INDEX(Setup!$C$8:$C$37,MATCH(D1346,Setup!$B$8:$B$37,0)),"Check category"))</f>
        <v/>
      </c>
      <c r="G1346" s="23" t="str">
        <f aca="false">IF(B1346="","",MONTH(B1346))</f>
        <v/>
      </c>
      <c r="H1346" s="23" t="str">
        <f aca="false">IF(B1346="","",YEAR(B1346))</f>
        <v/>
      </c>
    </row>
    <row r="1347" customFormat="false" ht="15" hidden="false" customHeight="false" outlineLevel="0" collapsed="false">
      <c r="B1347" s="21"/>
      <c r="C1347" s="16"/>
      <c r="D1347" s="16"/>
      <c r="E1347" s="17"/>
      <c r="F1347" s="22" t="str">
        <f aca="false">IF(D1347="","",IFERROR(INDEX(Setup!$C$8:$C$37,MATCH(D1347,Setup!$B$8:$B$37,0)),"Check category"))</f>
        <v/>
      </c>
      <c r="G1347" s="23" t="str">
        <f aca="false">IF(B1347="","",MONTH(B1347))</f>
        <v/>
      </c>
      <c r="H1347" s="23" t="str">
        <f aca="false">IF(B1347="","",YEAR(B1347))</f>
        <v/>
      </c>
    </row>
    <row r="1348" customFormat="false" ht="15" hidden="false" customHeight="false" outlineLevel="0" collapsed="false">
      <c r="B1348" s="21"/>
      <c r="C1348" s="16"/>
      <c r="D1348" s="16"/>
      <c r="E1348" s="17"/>
      <c r="F1348" s="22" t="str">
        <f aca="false">IF(D1348="","",IFERROR(INDEX(Setup!$C$8:$C$37,MATCH(D1348,Setup!$B$8:$B$37,0)),"Check category"))</f>
        <v/>
      </c>
      <c r="G1348" s="23" t="str">
        <f aca="false">IF(B1348="","",MONTH(B1348))</f>
        <v/>
      </c>
      <c r="H1348" s="23" t="str">
        <f aca="false">IF(B1348="","",YEAR(B1348))</f>
        <v/>
      </c>
    </row>
    <row r="1349" customFormat="false" ht="15" hidden="false" customHeight="false" outlineLevel="0" collapsed="false">
      <c r="B1349" s="21"/>
      <c r="C1349" s="16"/>
      <c r="D1349" s="16"/>
      <c r="E1349" s="17"/>
      <c r="F1349" s="22" t="str">
        <f aca="false">IF(D1349="","",IFERROR(INDEX(Setup!$C$8:$C$37,MATCH(D1349,Setup!$B$8:$B$37,0)),"Check category"))</f>
        <v/>
      </c>
      <c r="G1349" s="23" t="str">
        <f aca="false">IF(B1349="","",MONTH(B1349))</f>
        <v/>
      </c>
      <c r="H1349" s="23" t="str">
        <f aca="false">IF(B1349="","",YEAR(B1349))</f>
        <v/>
      </c>
    </row>
    <row r="1350" customFormat="false" ht="15" hidden="false" customHeight="false" outlineLevel="0" collapsed="false">
      <c r="B1350" s="21"/>
      <c r="C1350" s="16"/>
      <c r="D1350" s="16"/>
      <c r="E1350" s="17"/>
      <c r="F1350" s="22" t="str">
        <f aca="false">IF(D1350="","",IFERROR(INDEX(Setup!$C$8:$C$37,MATCH(D1350,Setup!$B$8:$B$37,0)),"Check category"))</f>
        <v/>
      </c>
      <c r="G1350" s="23" t="str">
        <f aca="false">IF(B1350="","",MONTH(B1350))</f>
        <v/>
      </c>
      <c r="H1350" s="23" t="str">
        <f aca="false">IF(B1350="","",YEAR(B1350))</f>
        <v/>
      </c>
    </row>
    <row r="1351" customFormat="false" ht="15" hidden="false" customHeight="false" outlineLevel="0" collapsed="false">
      <c r="B1351" s="21"/>
      <c r="C1351" s="16"/>
      <c r="D1351" s="16"/>
      <c r="E1351" s="17"/>
      <c r="F1351" s="22" t="str">
        <f aca="false">IF(D1351="","",IFERROR(INDEX(Setup!$C$8:$C$37,MATCH(D1351,Setup!$B$8:$B$37,0)),"Check category"))</f>
        <v/>
      </c>
      <c r="G1351" s="23" t="str">
        <f aca="false">IF(B1351="","",MONTH(B1351))</f>
        <v/>
      </c>
      <c r="H1351" s="23" t="str">
        <f aca="false">IF(B1351="","",YEAR(B1351))</f>
        <v/>
      </c>
    </row>
    <row r="1352" customFormat="false" ht="15" hidden="false" customHeight="false" outlineLevel="0" collapsed="false">
      <c r="B1352" s="21"/>
      <c r="C1352" s="16"/>
      <c r="D1352" s="16"/>
      <c r="E1352" s="17"/>
      <c r="F1352" s="22" t="str">
        <f aca="false">IF(D1352="","",IFERROR(INDEX(Setup!$C$8:$C$37,MATCH(D1352,Setup!$B$8:$B$37,0)),"Check category"))</f>
        <v/>
      </c>
      <c r="G1352" s="23" t="str">
        <f aca="false">IF(B1352="","",MONTH(B1352))</f>
        <v/>
      </c>
      <c r="H1352" s="23" t="str">
        <f aca="false">IF(B1352="","",YEAR(B1352))</f>
        <v/>
      </c>
    </row>
    <row r="1353" customFormat="false" ht="15" hidden="false" customHeight="false" outlineLevel="0" collapsed="false">
      <c r="B1353" s="21"/>
      <c r="C1353" s="16"/>
      <c r="D1353" s="16"/>
      <c r="E1353" s="17"/>
      <c r="F1353" s="22" t="str">
        <f aca="false">IF(D1353="","",IFERROR(INDEX(Setup!$C$8:$C$37,MATCH(D1353,Setup!$B$8:$B$37,0)),"Check category"))</f>
        <v/>
      </c>
      <c r="G1353" s="23" t="str">
        <f aca="false">IF(B1353="","",MONTH(B1353))</f>
        <v/>
      </c>
      <c r="H1353" s="23" t="str">
        <f aca="false">IF(B1353="","",YEAR(B1353))</f>
        <v/>
      </c>
    </row>
    <row r="1354" customFormat="false" ht="15" hidden="false" customHeight="false" outlineLevel="0" collapsed="false">
      <c r="B1354" s="21"/>
      <c r="C1354" s="16"/>
      <c r="D1354" s="16"/>
      <c r="E1354" s="17"/>
      <c r="F1354" s="22" t="str">
        <f aca="false">IF(D1354="","",IFERROR(INDEX(Setup!$C$8:$C$37,MATCH(D1354,Setup!$B$8:$B$37,0)),"Check category"))</f>
        <v/>
      </c>
      <c r="G1354" s="23" t="str">
        <f aca="false">IF(B1354="","",MONTH(B1354))</f>
        <v/>
      </c>
      <c r="H1354" s="23" t="str">
        <f aca="false">IF(B1354="","",YEAR(B1354))</f>
        <v/>
      </c>
    </row>
    <row r="1355" customFormat="false" ht="15" hidden="false" customHeight="false" outlineLevel="0" collapsed="false">
      <c r="B1355" s="21"/>
      <c r="C1355" s="16"/>
      <c r="D1355" s="16"/>
      <c r="E1355" s="17"/>
      <c r="F1355" s="22" t="str">
        <f aca="false">IF(D1355="","",IFERROR(INDEX(Setup!$C$8:$C$37,MATCH(D1355,Setup!$B$8:$B$37,0)),"Check category"))</f>
        <v/>
      </c>
      <c r="G1355" s="23" t="str">
        <f aca="false">IF(B1355="","",MONTH(B1355))</f>
        <v/>
      </c>
      <c r="H1355" s="23" t="str">
        <f aca="false">IF(B1355="","",YEAR(B1355))</f>
        <v/>
      </c>
    </row>
    <row r="1356" customFormat="false" ht="15" hidden="false" customHeight="false" outlineLevel="0" collapsed="false">
      <c r="B1356" s="21"/>
      <c r="C1356" s="16"/>
      <c r="D1356" s="16"/>
      <c r="E1356" s="17"/>
      <c r="F1356" s="22" t="str">
        <f aca="false">IF(D1356="","",IFERROR(INDEX(Setup!$C$8:$C$37,MATCH(D1356,Setup!$B$8:$B$37,0)),"Check category"))</f>
        <v/>
      </c>
      <c r="G1356" s="23" t="str">
        <f aca="false">IF(B1356="","",MONTH(B1356))</f>
        <v/>
      </c>
      <c r="H1356" s="23" t="str">
        <f aca="false">IF(B1356="","",YEAR(B1356))</f>
        <v/>
      </c>
    </row>
    <row r="1357" customFormat="false" ht="15" hidden="false" customHeight="false" outlineLevel="0" collapsed="false">
      <c r="B1357" s="21"/>
      <c r="C1357" s="16"/>
      <c r="D1357" s="16"/>
      <c r="E1357" s="17"/>
      <c r="F1357" s="22" t="str">
        <f aca="false">IF(D1357="","",IFERROR(INDEX(Setup!$C$8:$C$37,MATCH(D1357,Setup!$B$8:$B$37,0)),"Check category"))</f>
        <v/>
      </c>
      <c r="G1357" s="23" t="str">
        <f aca="false">IF(B1357="","",MONTH(B1357))</f>
        <v/>
      </c>
      <c r="H1357" s="23" t="str">
        <f aca="false">IF(B1357="","",YEAR(B1357))</f>
        <v/>
      </c>
    </row>
    <row r="1358" customFormat="false" ht="15" hidden="false" customHeight="false" outlineLevel="0" collapsed="false">
      <c r="B1358" s="21"/>
      <c r="C1358" s="16"/>
      <c r="D1358" s="16"/>
      <c r="E1358" s="17"/>
      <c r="F1358" s="22" t="str">
        <f aca="false">IF(D1358="","",IFERROR(INDEX(Setup!$C$8:$C$37,MATCH(D1358,Setup!$B$8:$B$37,0)),"Check category"))</f>
        <v/>
      </c>
      <c r="G1358" s="23" t="str">
        <f aca="false">IF(B1358="","",MONTH(B1358))</f>
        <v/>
      </c>
      <c r="H1358" s="23" t="str">
        <f aca="false">IF(B1358="","",YEAR(B1358))</f>
        <v/>
      </c>
    </row>
    <row r="1359" customFormat="false" ht="15" hidden="false" customHeight="false" outlineLevel="0" collapsed="false">
      <c r="B1359" s="21"/>
      <c r="C1359" s="16"/>
      <c r="D1359" s="16"/>
      <c r="E1359" s="17"/>
      <c r="F1359" s="22" t="str">
        <f aca="false">IF(D1359="","",IFERROR(INDEX(Setup!$C$8:$C$37,MATCH(D1359,Setup!$B$8:$B$37,0)),"Check category"))</f>
        <v/>
      </c>
      <c r="G1359" s="23" t="str">
        <f aca="false">IF(B1359="","",MONTH(B1359))</f>
        <v/>
      </c>
      <c r="H1359" s="23" t="str">
        <f aca="false">IF(B1359="","",YEAR(B1359))</f>
        <v/>
      </c>
    </row>
    <row r="1360" customFormat="false" ht="15" hidden="false" customHeight="false" outlineLevel="0" collapsed="false">
      <c r="B1360" s="21"/>
      <c r="C1360" s="16"/>
      <c r="D1360" s="16"/>
      <c r="E1360" s="17"/>
      <c r="F1360" s="22" t="str">
        <f aca="false">IF(D1360="","",IFERROR(INDEX(Setup!$C$8:$C$37,MATCH(D1360,Setup!$B$8:$B$37,0)),"Check category"))</f>
        <v/>
      </c>
      <c r="G1360" s="23" t="str">
        <f aca="false">IF(B1360="","",MONTH(B1360))</f>
        <v/>
      </c>
      <c r="H1360" s="23" t="str">
        <f aca="false">IF(B1360="","",YEAR(B1360))</f>
        <v/>
      </c>
    </row>
    <row r="1361" customFormat="false" ht="15" hidden="false" customHeight="false" outlineLevel="0" collapsed="false">
      <c r="B1361" s="21"/>
      <c r="C1361" s="16"/>
      <c r="D1361" s="16"/>
      <c r="E1361" s="17"/>
      <c r="F1361" s="22" t="str">
        <f aca="false">IF(D1361="","",IFERROR(INDEX(Setup!$C$8:$C$37,MATCH(D1361,Setup!$B$8:$B$37,0)),"Check category"))</f>
        <v/>
      </c>
      <c r="G1361" s="23" t="str">
        <f aca="false">IF(B1361="","",MONTH(B1361))</f>
        <v/>
      </c>
      <c r="H1361" s="23" t="str">
        <f aca="false">IF(B1361="","",YEAR(B1361))</f>
        <v/>
      </c>
    </row>
    <row r="1362" customFormat="false" ht="15" hidden="false" customHeight="false" outlineLevel="0" collapsed="false">
      <c r="B1362" s="21"/>
      <c r="C1362" s="16"/>
      <c r="D1362" s="16"/>
      <c r="E1362" s="17"/>
      <c r="F1362" s="22" t="str">
        <f aca="false">IF(D1362="","",IFERROR(INDEX(Setup!$C$8:$C$37,MATCH(D1362,Setup!$B$8:$B$37,0)),"Check category"))</f>
        <v/>
      </c>
      <c r="G1362" s="23" t="str">
        <f aca="false">IF(B1362="","",MONTH(B1362))</f>
        <v/>
      </c>
      <c r="H1362" s="23" t="str">
        <f aca="false">IF(B1362="","",YEAR(B1362))</f>
        <v/>
      </c>
    </row>
    <row r="1363" customFormat="false" ht="15" hidden="false" customHeight="false" outlineLevel="0" collapsed="false">
      <c r="B1363" s="21"/>
      <c r="C1363" s="16"/>
      <c r="D1363" s="16"/>
      <c r="E1363" s="17"/>
      <c r="F1363" s="22" t="str">
        <f aca="false">IF(D1363="","",IFERROR(INDEX(Setup!$C$8:$C$37,MATCH(D1363,Setup!$B$8:$B$37,0)),"Check category"))</f>
        <v/>
      </c>
      <c r="G1363" s="23" t="str">
        <f aca="false">IF(B1363="","",MONTH(B1363))</f>
        <v/>
      </c>
      <c r="H1363" s="23" t="str">
        <f aca="false">IF(B1363="","",YEAR(B1363))</f>
        <v/>
      </c>
    </row>
    <row r="1364" customFormat="false" ht="15" hidden="false" customHeight="false" outlineLevel="0" collapsed="false">
      <c r="B1364" s="21"/>
      <c r="C1364" s="16"/>
      <c r="D1364" s="16"/>
      <c r="E1364" s="17"/>
      <c r="F1364" s="22" t="str">
        <f aca="false">IF(D1364="","",IFERROR(INDEX(Setup!$C$8:$C$37,MATCH(D1364,Setup!$B$8:$B$37,0)),"Check category"))</f>
        <v/>
      </c>
      <c r="G1364" s="23" t="str">
        <f aca="false">IF(B1364="","",MONTH(B1364))</f>
        <v/>
      </c>
      <c r="H1364" s="23" t="str">
        <f aca="false">IF(B1364="","",YEAR(B1364))</f>
        <v/>
      </c>
    </row>
    <row r="1365" customFormat="false" ht="15" hidden="false" customHeight="false" outlineLevel="0" collapsed="false">
      <c r="B1365" s="21"/>
      <c r="C1365" s="16"/>
      <c r="D1365" s="16"/>
      <c r="E1365" s="17"/>
      <c r="F1365" s="22" t="str">
        <f aca="false">IF(D1365="","",IFERROR(INDEX(Setup!$C$8:$C$37,MATCH(D1365,Setup!$B$8:$B$37,0)),"Check category"))</f>
        <v/>
      </c>
      <c r="G1365" s="23" t="str">
        <f aca="false">IF(B1365="","",MONTH(B1365))</f>
        <v/>
      </c>
      <c r="H1365" s="23" t="str">
        <f aca="false">IF(B1365="","",YEAR(B1365))</f>
        <v/>
      </c>
    </row>
    <row r="1366" customFormat="false" ht="15" hidden="false" customHeight="false" outlineLevel="0" collapsed="false">
      <c r="B1366" s="21"/>
      <c r="C1366" s="16"/>
      <c r="D1366" s="16"/>
      <c r="E1366" s="17"/>
      <c r="F1366" s="22" t="str">
        <f aca="false">IF(D1366="","",IFERROR(INDEX(Setup!$C$8:$C$37,MATCH(D1366,Setup!$B$8:$B$37,0)),"Check category"))</f>
        <v/>
      </c>
      <c r="G1366" s="23" t="str">
        <f aca="false">IF(B1366="","",MONTH(B1366))</f>
        <v/>
      </c>
      <c r="H1366" s="23" t="str">
        <f aca="false">IF(B1366="","",YEAR(B1366))</f>
        <v/>
      </c>
    </row>
    <row r="1367" customFormat="false" ht="15" hidden="false" customHeight="false" outlineLevel="0" collapsed="false">
      <c r="B1367" s="21"/>
      <c r="C1367" s="16"/>
      <c r="D1367" s="16"/>
      <c r="E1367" s="17"/>
      <c r="F1367" s="22" t="str">
        <f aca="false">IF(D1367="","",IFERROR(INDEX(Setup!$C$8:$C$37,MATCH(D1367,Setup!$B$8:$B$37,0)),"Check category"))</f>
        <v/>
      </c>
      <c r="G1367" s="23" t="str">
        <f aca="false">IF(B1367="","",MONTH(B1367))</f>
        <v/>
      </c>
      <c r="H1367" s="23" t="str">
        <f aca="false">IF(B1367="","",YEAR(B1367))</f>
        <v/>
      </c>
    </row>
    <row r="1368" customFormat="false" ht="15" hidden="false" customHeight="false" outlineLevel="0" collapsed="false">
      <c r="B1368" s="21"/>
      <c r="C1368" s="16"/>
      <c r="D1368" s="16"/>
      <c r="E1368" s="17"/>
      <c r="F1368" s="22" t="str">
        <f aca="false">IF(D1368="","",IFERROR(INDEX(Setup!$C$8:$C$37,MATCH(D1368,Setup!$B$8:$B$37,0)),"Check category"))</f>
        <v/>
      </c>
      <c r="G1368" s="23" t="str">
        <f aca="false">IF(B1368="","",MONTH(B1368))</f>
        <v/>
      </c>
      <c r="H1368" s="23" t="str">
        <f aca="false">IF(B1368="","",YEAR(B1368))</f>
        <v/>
      </c>
    </row>
    <row r="1369" customFormat="false" ht="15" hidden="false" customHeight="false" outlineLevel="0" collapsed="false">
      <c r="B1369" s="21"/>
      <c r="C1369" s="16"/>
      <c r="D1369" s="16"/>
      <c r="E1369" s="17"/>
      <c r="F1369" s="22" t="str">
        <f aca="false">IF(D1369="","",IFERROR(INDEX(Setup!$C$8:$C$37,MATCH(D1369,Setup!$B$8:$B$37,0)),"Check category"))</f>
        <v/>
      </c>
      <c r="G1369" s="23" t="str">
        <f aca="false">IF(B1369="","",MONTH(B1369))</f>
        <v/>
      </c>
      <c r="H1369" s="23" t="str">
        <f aca="false">IF(B1369="","",YEAR(B1369))</f>
        <v/>
      </c>
    </row>
    <row r="1370" customFormat="false" ht="15" hidden="false" customHeight="false" outlineLevel="0" collapsed="false">
      <c r="B1370" s="21"/>
      <c r="C1370" s="16"/>
      <c r="D1370" s="16"/>
      <c r="E1370" s="17"/>
      <c r="F1370" s="22" t="str">
        <f aca="false">IF(D1370="","",IFERROR(INDEX(Setup!$C$8:$C$37,MATCH(D1370,Setup!$B$8:$B$37,0)),"Check category"))</f>
        <v/>
      </c>
      <c r="G1370" s="23" t="str">
        <f aca="false">IF(B1370="","",MONTH(B1370))</f>
        <v/>
      </c>
      <c r="H1370" s="23" t="str">
        <f aca="false">IF(B1370="","",YEAR(B1370))</f>
        <v/>
      </c>
    </row>
    <row r="1371" customFormat="false" ht="15" hidden="false" customHeight="false" outlineLevel="0" collapsed="false">
      <c r="B1371" s="21"/>
      <c r="C1371" s="16"/>
      <c r="D1371" s="16"/>
      <c r="E1371" s="17"/>
      <c r="F1371" s="22" t="str">
        <f aca="false">IF(D1371="","",IFERROR(INDEX(Setup!$C$8:$C$37,MATCH(D1371,Setup!$B$8:$B$37,0)),"Check category"))</f>
        <v/>
      </c>
      <c r="G1371" s="23" t="str">
        <f aca="false">IF(B1371="","",MONTH(B1371))</f>
        <v/>
      </c>
      <c r="H1371" s="23" t="str">
        <f aca="false">IF(B1371="","",YEAR(B1371))</f>
        <v/>
      </c>
    </row>
    <row r="1372" customFormat="false" ht="15" hidden="false" customHeight="false" outlineLevel="0" collapsed="false">
      <c r="B1372" s="21"/>
      <c r="C1372" s="16"/>
      <c r="D1372" s="16"/>
      <c r="E1372" s="17"/>
      <c r="F1372" s="22" t="str">
        <f aca="false">IF(D1372="","",IFERROR(INDEX(Setup!$C$8:$C$37,MATCH(D1372,Setup!$B$8:$B$37,0)),"Check category"))</f>
        <v/>
      </c>
      <c r="G1372" s="23" t="str">
        <f aca="false">IF(B1372="","",MONTH(B1372))</f>
        <v/>
      </c>
      <c r="H1372" s="23" t="str">
        <f aca="false">IF(B1372="","",YEAR(B1372))</f>
        <v/>
      </c>
    </row>
    <row r="1373" customFormat="false" ht="15" hidden="false" customHeight="false" outlineLevel="0" collapsed="false">
      <c r="B1373" s="21"/>
      <c r="C1373" s="16"/>
      <c r="D1373" s="16"/>
      <c r="E1373" s="17"/>
      <c r="F1373" s="22" t="str">
        <f aca="false">IF(D1373="","",IFERROR(INDEX(Setup!$C$8:$C$37,MATCH(D1373,Setup!$B$8:$B$37,0)),"Check category"))</f>
        <v/>
      </c>
      <c r="G1373" s="23" t="str">
        <f aca="false">IF(B1373="","",MONTH(B1373))</f>
        <v/>
      </c>
      <c r="H1373" s="23" t="str">
        <f aca="false">IF(B1373="","",YEAR(B1373))</f>
        <v/>
      </c>
    </row>
    <row r="1374" customFormat="false" ht="15" hidden="false" customHeight="false" outlineLevel="0" collapsed="false">
      <c r="B1374" s="21"/>
      <c r="C1374" s="16"/>
      <c r="D1374" s="16"/>
      <c r="E1374" s="17"/>
      <c r="F1374" s="22" t="str">
        <f aca="false">IF(D1374="","",IFERROR(INDEX(Setup!$C$8:$C$37,MATCH(D1374,Setup!$B$8:$B$37,0)),"Check category"))</f>
        <v/>
      </c>
      <c r="G1374" s="23" t="str">
        <f aca="false">IF(B1374="","",MONTH(B1374))</f>
        <v/>
      </c>
      <c r="H1374" s="23" t="str">
        <f aca="false">IF(B1374="","",YEAR(B1374))</f>
        <v/>
      </c>
    </row>
    <row r="1375" customFormat="false" ht="15" hidden="false" customHeight="false" outlineLevel="0" collapsed="false">
      <c r="B1375" s="21"/>
      <c r="C1375" s="16"/>
      <c r="D1375" s="16"/>
      <c r="E1375" s="17"/>
      <c r="F1375" s="22" t="str">
        <f aca="false">IF(D1375="","",IFERROR(INDEX(Setup!$C$8:$C$37,MATCH(D1375,Setup!$B$8:$B$37,0)),"Check category"))</f>
        <v/>
      </c>
      <c r="G1375" s="23" t="str">
        <f aca="false">IF(B1375="","",MONTH(B1375))</f>
        <v/>
      </c>
      <c r="H1375" s="23" t="str">
        <f aca="false">IF(B1375="","",YEAR(B1375))</f>
        <v/>
      </c>
    </row>
    <row r="1376" customFormat="false" ht="15" hidden="false" customHeight="false" outlineLevel="0" collapsed="false">
      <c r="B1376" s="21"/>
      <c r="C1376" s="16"/>
      <c r="D1376" s="16"/>
      <c r="E1376" s="17"/>
      <c r="F1376" s="22" t="str">
        <f aca="false">IF(D1376="","",IFERROR(INDEX(Setup!$C$8:$C$37,MATCH(D1376,Setup!$B$8:$B$37,0)),"Check category"))</f>
        <v/>
      </c>
      <c r="G1376" s="23" t="str">
        <f aca="false">IF(B1376="","",MONTH(B1376))</f>
        <v/>
      </c>
      <c r="H1376" s="23" t="str">
        <f aca="false">IF(B1376="","",YEAR(B1376))</f>
        <v/>
      </c>
    </row>
    <row r="1377" customFormat="false" ht="15" hidden="false" customHeight="false" outlineLevel="0" collapsed="false">
      <c r="B1377" s="21"/>
      <c r="C1377" s="16"/>
      <c r="D1377" s="16"/>
      <c r="E1377" s="17"/>
      <c r="F1377" s="22" t="str">
        <f aca="false">IF(D1377="","",IFERROR(INDEX(Setup!$C$8:$C$37,MATCH(D1377,Setup!$B$8:$B$37,0)),"Check category"))</f>
        <v/>
      </c>
      <c r="G1377" s="23" t="str">
        <f aca="false">IF(B1377="","",MONTH(B1377))</f>
        <v/>
      </c>
      <c r="H1377" s="23" t="str">
        <f aca="false">IF(B1377="","",YEAR(B1377))</f>
        <v/>
      </c>
    </row>
    <row r="1378" customFormat="false" ht="15" hidden="false" customHeight="false" outlineLevel="0" collapsed="false">
      <c r="B1378" s="21"/>
      <c r="C1378" s="16"/>
      <c r="D1378" s="16"/>
      <c r="E1378" s="17"/>
      <c r="F1378" s="22" t="str">
        <f aca="false">IF(D1378="","",IFERROR(INDEX(Setup!$C$8:$C$37,MATCH(D1378,Setup!$B$8:$B$37,0)),"Check category"))</f>
        <v/>
      </c>
      <c r="G1378" s="23" t="str">
        <f aca="false">IF(B1378="","",MONTH(B1378))</f>
        <v/>
      </c>
      <c r="H1378" s="23" t="str">
        <f aca="false">IF(B1378="","",YEAR(B1378))</f>
        <v/>
      </c>
    </row>
    <row r="1379" customFormat="false" ht="15" hidden="false" customHeight="false" outlineLevel="0" collapsed="false">
      <c r="B1379" s="21"/>
      <c r="C1379" s="16"/>
      <c r="D1379" s="16"/>
      <c r="E1379" s="17"/>
      <c r="F1379" s="22" t="str">
        <f aca="false">IF(D1379="","",IFERROR(INDEX(Setup!$C$8:$C$37,MATCH(D1379,Setup!$B$8:$B$37,0)),"Check category"))</f>
        <v/>
      </c>
      <c r="G1379" s="23" t="str">
        <f aca="false">IF(B1379="","",MONTH(B1379))</f>
        <v/>
      </c>
      <c r="H1379" s="23" t="str">
        <f aca="false">IF(B1379="","",YEAR(B1379))</f>
        <v/>
      </c>
    </row>
    <row r="1380" customFormat="false" ht="15" hidden="false" customHeight="false" outlineLevel="0" collapsed="false">
      <c r="B1380" s="21"/>
      <c r="C1380" s="16"/>
      <c r="D1380" s="16"/>
      <c r="E1380" s="17"/>
      <c r="F1380" s="22" t="str">
        <f aca="false">IF(D1380="","",IFERROR(INDEX(Setup!$C$8:$C$37,MATCH(D1380,Setup!$B$8:$B$37,0)),"Check category"))</f>
        <v/>
      </c>
      <c r="G1380" s="23" t="str">
        <f aca="false">IF(B1380="","",MONTH(B1380))</f>
        <v/>
      </c>
      <c r="H1380" s="23" t="str">
        <f aca="false">IF(B1380="","",YEAR(B1380))</f>
        <v/>
      </c>
    </row>
    <row r="1381" customFormat="false" ht="15" hidden="false" customHeight="false" outlineLevel="0" collapsed="false">
      <c r="B1381" s="21"/>
      <c r="C1381" s="16"/>
      <c r="D1381" s="16"/>
      <c r="E1381" s="17"/>
      <c r="F1381" s="22" t="str">
        <f aca="false">IF(D1381="","",IFERROR(INDEX(Setup!$C$8:$C$37,MATCH(D1381,Setup!$B$8:$B$37,0)),"Check category"))</f>
        <v/>
      </c>
      <c r="G1381" s="23" t="str">
        <f aca="false">IF(B1381="","",MONTH(B1381))</f>
        <v/>
      </c>
      <c r="H1381" s="23" t="str">
        <f aca="false">IF(B1381="","",YEAR(B1381))</f>
        <v/>
      </c>
    </row>
    <row r="1382" customFormat="false" ht="15" hidden="false" customHeight="false" outlineLevel="0" collapsed="false">
      <c r="B1382" s="21"/>
      <c r="C1382" s="16"/>
      <c r="D1382" s="16"/>
      <c r="E1382" s="17"/>
      <c r="F1382" s="22" t="str">
        <f aca="false">IF(D1382="","",IFERROR(INDEX(Setup!$C$8:$C$37,MATCH(D1382,Setup!$B$8:$B$37,0)),"Check category"))</f>
        <v/>
      </c>
      <c r="G1382" s="23" t="str">
        <f aca="false">IF(B1382="","",MONTH(B1382))</f>
        <v/>
      </c>
      <c r="H1382" s="23" t="str">
        <f aca="false">IF(B1382="","",YEAR(B1382))</f>
        <v/>
      </c>
    </row>
    <row r="1383" customFormat="false" ht="15" hidden="false" customHeight="false" outlineLevel="0" collapsed="false">
      <c r="B1383" s="21"/>
      <c r="C1383" s="16"/>
      <c r="D1383" s="16"/>
      <c r="E1383" s="17"/>
      <c r="F1383" s="22" t="str">
        <f aca="false">IF(D1383="","",IFERROR(INDEX(Setup!$C$8:$C$37,MATCH(D1383,Setup!$B$8:$B$37,0)),"Check category"))</f>
        <v/>
      </c>
      <c r="G1383" s="23" t="str">
        <f aca="false">IF(B1383="","",MONTH(B1383))</f>
        <v/>
      </c>
      <c r="H1383" s="23" t="str">
        <f aca="false">IF(B1383="","",YEAR(B1383))</f>
        <v/>
      </c>
    </row>
    <row r="1384" customFormat="false" ht="15" hidden="false" customHeight="false" outlineLevel="0" collapsed="false">
      <c r="B1384" s="21"/>
      <c r="C1384" s="16"/>
      <c r="D1384" s="16"/>
      <c r="E1384" s="17"/>
      <c r="F1384" s="22" t="str">
        <f aca="false">IF(D1384="","",IFERROR(INDEX(Setup!$C$8:$C$37,MATCH(D1384,Setup!$B$8:$B$37,0)),"Check category"))</f>
        <v/>
      </c>
      <c r="G1384" s="23" t="str">
        <f aca="false">IF(B1384="","",MONTH(B1384))</f>
        <v/>
      </c>
      <c r="H1384" s="23" t="str">
        <f aca="false">IF(B1384="","",YEAR(B1384))</f>
        <v/>
      </c>
    </row>
    <row r="1385" customFormat="false" ht="15" hidden="false" customHeight="false" outlineLevel="0" collapsed="false">
      <c r="B1385" s="21"/>
      <c r="C1385" s="16"/>
      <c r="D1385" s="16"/>
      <c r="E1385" s="17"/>
      <c r="F1385" s="22" t="str">
        <f aca="false">IF(D1385="","",IFERROR(INDEX(Setup!$C$8:$C$37,MATCH(D1385,Setup!$B$8:$B$37,0)),"Check category"))</f>
        <v/>
      </c>
      <c r="G1385" s="23" t="str">
        <f aca="false">IF(B1385="","",MONTH(B1385))</f>
        <v/>
      </c>
      <c r="H1385" s="23" t="str">
        <f aca="false">IF(B1385="","",YEAR(B1385))</f>
        <v/>
      </c>
    </row>
    <row r="1386" customFormat="false" ht="15" hidden="false" customHeight="false" outlineLevel="0" collapsed="false">
      <c r="B1386" s="21"/>
      <c r="C1386" s="16"/>
      <c r="D1386" s="16"/>
      <c r="E1386" s="17"/>
      <c r="F1386" s="22" t="str">
        <f aca="false">IF(D1386="","",IFERROR(INDEX(Setup!$C$8:$C$37,MATCH(D1386,Setup!$B$8:$B$37,0)),"Check category"))</f>
        <v/>
      </c>
      <c r="G1386" s="23" t="str">
        <f aca="false">IF(B1386="","",MONTH(B1386))</f>
        <v/>
      </c>
      <c r="H1386" s="23" t="str">
        <f aca="false">IF(B1386="","",YEAR(B1386))</f>
        <v/>
      </c>
    </row>
    <row r="1387" customFormat="false" ht="15" hidden="false" customHeight="false" outlineLevel="0" collapsed="false">
      <c r="B1387" s="21"/>
      <c r="C1387" s="16"/>
      <c r="D1387" s="16"/>
      <c r="E1387" s="17"/>
      <c r="F1387" s="22" t="str">
        <f aca="false">IF(D1387="","",IFERROR(INDEX(Setup!$C$8:$C$37,MATCH(D1387,Setup!$B$8:$B$37,0)),"Check category"))</f>
        <v/>
      </c>
      <c r="G1387" s="23" t="str">
        <f aca="false">IF(B1387="","",MONTH(B1387))</f>
        <v/>
      </c>
      <c r="H1387" s="23" t="str">
        <f aca="false">IF(B1387="","",YEAR(B1387))</f>
        <v/>
      </c>
    </row>
    <row r="1388" customFormat="false" ht="15" hidden="false" customHeight="false" outlineLevel="0" collapsed="false">
      <c r="B1388" s="21"/>
      <c r="C1388" s="16"/>
      <c r="D1388" s="16"/>
      <c r="E1388" s="17"/>
      <c r="F1388" s="22" t="str">
        <f aca="false">IF(D1388="","",IFERROR(INDEX(Setup!$C$8:$C$37,MATCH(D1388,Setup!$B$8:$B$37,0)),"Check category"))</f>
        <v/>
      </c>
      <c r="G1388" s="23" t="str">
        <f aca="false">IF(B1388="","",MONTH(B1388))</f>
        <v/>
      </c>
      <c r="H1388" s="23" t="str">
        <f aca="false">IF(B1388="","",YEAR(B1388))</f>
        <v/>
      </c>
    </row>
    <row r="1389" customFormat="false" ht="15" hidden="false" customHeight="false" outlineLevel="0" collapsed="false">
      <c r="B1389" s="21"/>
      <c r="C1389" s="16"/>
      <c r="D1389" s="16"/>
      <c r="E1389" s="17"/>
      <c r="F1389" s="22" t="str">
        <f aca="false">IF(D1389="","",IFERROR(INDEX(Setup!$C$8:$C$37,MATCH(D1389,Setup!$B$8:$B$37,0)),"Check category"))</f>
        <v/>
      </c>
      <c r="G1389" s="23" t="str">
        <f aca="false">IF(B1389="","",MONTH(B1389))</f>
        <v/>
      </c>
      <c r="H1389" s="23" t="str">
        <f aca="false">IF(B1389="","",YEAR(B1389))</f>
        <v/>
      </c>
    </row>
    <row r="1390" customFormat="false" ht="15" hidden="false" customHeight="false" outlineLevel="0" collapsed="false">
      <c r="B1390" s="21"/>
      <c r="C1390" s="16"/>
      <c r="D1390" s="16"/>
      <c r="E1390" s="17"/>
      <c r="F1390" s="22" t="str">
        <f aca="false">IF(D1390="","",IFERROR(INDEX(Setup!$C$8:$C$37,MATCH(D1390,Setup!$B$8:$B$37,0)),"Check category"))</f>
        <v/>
      </c>
      <c r="G1390" s="23" t="str">
        <f aca="false">IF(B1390="","",MONTH(B1390))</f>
        <v/>
      </c>
      <c r="H1390" s="23" t="str">
        <f aca="false">IF(B1390="","",YEAR(B1390))</f>
        <v/>
      </c>
    </row>
    <row r="1391" customFormat="false" ht="15" hidden="false" customHeight="false" outlineLevel="0" collapsed="false">
      <c r="B1391" s="21"/>
      <c r="C1391" s="16"/>
      <c r="D1391" s="16"/>
      <c r="E1391" s="17"/>
      <c r="F1391" s="22" t="str">
        <f aca="false">IF(D1391="","",IFERROR(INDEX(Setup!$C$8:$C$37,MATCH(D1391,Setup!$B$8:$B$37,0)),"Check category"))</f>
        <v/>
      </c>
      <c r="G1391" s="23" t="str">
        <f aca="false">IF(B1391="","",MONTH(B1391))</f>
        <v/>
      </c>
      <c r="H1391" s="23" t="str">
        <f aca="false">IF(B1391="","",YEAR(B1391))</f>
        <v/>
      </c>
    </row>
    <row r="1392" customFormat="false" ht="15" hidden="false" customHeight="false" outlineLevel="0" collapsed="false">
      <c r="B1392" s="21"/>
      <c r="C1392" s="16"/>
      <c r="D1392" s="16"/>
      <c r="E1392" s="17"/>
      <c r="F1392" s="22" t="str">
        <f aca="false">IF(D1392="","",IFERROR(INDEX(Setup!$C$8:$C$37,MATCH(D1392,Setup!$B$8:$B$37,0)),"Check category"))</f>
        <v/>
      </c>
      <c r="G1392" s="23" t="str">
        <f aca="false">IF(B1392="","",MONTH(B1392))</f>
        <v/>
      </c>
      <c r="H1392" s="23" t="str">
        <f aca="false">IF(B1392="","",YEAR(B1392))</f>
        <v/>
      </c>
    </row>
    <row r="1393" customFormat="false" ht="15" hidden="false" customHeight="false" outlineLevel="0" collapsed="false">
      <c r="B1393" s="21"/>
      <c r="C1393" s="16"/>
      <c r="D1393" s="16"/>
      <c r="E1393" s="17"/>
      <c r="F1393" s="22" t="str">
        <f aca="false">IF(D1393="","",IFERROR(INDEX(Setup!$C$8:$C$37,MATCH(D1393,Setup!$B$8:$B$37,0)),"Check category"))</f>
        <v/>
      </c>
      <c r="G1393" s="23" t="str">
        <f aca="false">IF(B1393="","",MONTH(B1393))</f>
        <v/>
      </c>
      <c r="H1393" s="23" t="str">
        <f aca="false">IF(B1393="","",YEAR(B1393))</f>
        <v/>
      </c>
    </row>
    <row r="1394" customFormat="false" ht="15" hidden="false" customHeight="false" outlineLevel="0" collapsed="false">
      <c r="B1394" s="21"/>
      <c r="C1394" s="16"/>
      <c r="D1394" s="16"/>
      <c r="E1394" s="17"/>
      <c r="F1394" s="22" t="str">
        <f aca="false">IF(D1394="","",IFERROR(INDEX(Setup!$C$8:$C$37,MATCH(D1394,Setup!$B$8:$B$37,0)),"Check category"))</f>
        <v/>
      </c>
      <c r="G1394" s="23" t="str">
        <f aca="false">IF(B1394="","",MONTH(B1394))</f>
        <v/>
      </c>
      <c r="H1394" s="23" t="str">
        <f aca="false">IF(B1394="","",YEAR(B1394))</f>
        <v/>
      </c>
    </row>
    <row r="1395" customFormat="false" ht="15" hidden="false" customHeight="false" outlineLevel="0" collapsed="false">
      <c r="B1395" s="21"/>
      <c r="C1395" s="16"/>
      <c r="D1395" s="16"/>
      <c r="E1395" s="17"/>
      <c r="F1395" s="22" t="str">
        <f aca="false">IF(D1395="","",IFERROR(INDEX(Setup!$C$8:$C$37,MATCH(D1395,Setup!$B$8:$B$37,0)),"Check category"))</f>
        <v/>
      </c>
      <c r="G1395" s="23" t="str">
        <f aca="false">IF(B1395="","",MONTH(B1395))</f>
        <v/>
      </c>
      <c r="H1395" s="23" t="str">
        <f aca="false">IF(B1395="","",YEAR(B1395))</f>
        <v/>
      </c>
    </row>
    <row r="1396" customFormat="false" ht="15" hidden="false" customHeight="false" outlineLevel="0" collapsed="false">
      <c r="B1396" s="21"/>
      <c r="C1396" s="16"/>
      <c r="D1396" s="16"/>
      <c r="E1396" s="17"/>
      <c r="F1396" s="22" t="str">
        <f aca="false">IF(D1396="","",IFERROR(INDEX(Setup!$C$8:$C$37,MATCH(D1396,Setup!$B$8:$B$37,0)),"Check category"))</f>
        <v/>
      </c>
      <c r="G1396" s="23" t="str">
        <f aca="false">IF(B1396="","",MONTH(B1396))</f>
        <v/>
      </c>
      <c r="H1396" s="23" t="str">
        <f aca="false">IF(B1396="","",YEAR(B1396))</f>
        <v/>
      </c>
    </row>
    <row r="1397" customFormat="false" ht="15" hidden="false" customHeight="false" outlineLevel="0" collapsed="false">
      <c r="B1397" s="21"/>
      <c r="C1397" s="16"/>
      <c r="D1397" s="16"/>
      <c r="E1397" s="17"/>
      <c r="F1397" s="22" t="str">
        <f aca="false">IF(D1397="","",IFERROR(INDEX(Setup!$C$8:$C$37,MATCH(D1397,Setup!$B$8:$B$37,0)),"Check category"))</f>
        <v/>
      </c>
      <c r="G1397" s="23" t="str">
        <f aca="false">IF(B1397="","",MONTH(B1397))</f>
        <v/>
      </c>
      <c r="H1397" s="23" t="str">
        <f aca="false">IF(B1397="","",YEAR(B1397))</f>
        <v/>
      </c>
    </row>
    <row r="1398" customFormat="false" ht="15" hidden="false" customHeight="false" outlineLevel="0" collapsed="false">
      <c r="B1398" s="21"/>
      <c r="C1398" s="16"/>
      <c r="D1398" s="16"/>
      <c r="E1398" s="17"/>
      <c r="F1398" s="22" t="str">
        <f aca="false">IF(D1398="","",IFERROR(INDEX(Setup!$C$8:$C$37,MATCH(D1398,Setup!$B$8:$B$37,0)),"Check category"))</f>
        <v/>
      </c>
      <c r="G1398" s="23" t="str">
        <f aca="false">IF(B1398="","",MONTH(B1398))</f>
        <v/>
      </c>
      <c r="H1398" s="23" t="str">
        <f aca="false">IF(B1398="","",YEAR(B1398))</f>
        <v/>
      </c>
    </row>
    <row r="1399" customFormat="false" ht="15" hidden="false" customHeight="false" outlineLevel="0" collapsed="false">
      <c r="B1399" s="21"/>
      <c r="C1399" s="16"/>
      <c r="D1399" s="16"/>
      <c r="E1399" s="17"/>
      <c r="F1399" s="22" t="str">
        <f aca="false">IF(D1399="","",IFERROR(INDEX(Setup!$C$8:$C$37,MATCH(D1399,Setup!$B$8:$B$37,0)),"Check category"))</f>
        <v/>
      </c>
      <c r="G1399" s="23" t="str">
        <f aca="false">IF(B1399="","",MONTH(B1399))</f>
        <v/>
      </c>
      <c r="H1399" s="23" t="str">
        <f aca="false">IF(B1399="","",YEAR(B1399))</f>
        <v/>
      </c>
    </row>
    <row r="1400" customFormat="false" ht="15" hidden="false" customHeight="false" outlineLevel="0" collapsed="false">
      <c r="B1400" s="21"/>
      <c r="C1400" s="16"/>
      <c r="D1400" s="16"/>
      <c r="E1400" s="17"/>
      <c r="F1400" s="22" t="str">
        <f aca="false">IF(D1400="","",IFERROR(INDEX(Setup!$C$8:$C$37,MATCH(D1400,Setup!$B$8:$B$37,0)),"Check category"))</f>
        <v/>
      </c>
      <c r="G1400" s="23" t="str">
        <f aca="false">IF(B1400="","",MONTH(B1400))</f>
        <v/>
      </c>
      <c r="H1400" s="23" t="str">
        <f aca="false">IF(B1400="","",YEAR(B1400))</f>
        <v/>
      </c>
    </row>
    <row r="1401" customFormat="false" ht="15" hidden="false" customHeight="false" outlineLevel="0" collapsed="false">
      <c r="B1401" s="21"/>
      <c r="C1401" s="16"/>
      <c r="D1401" s="16"/>
      <c r="E1401" s="17"/>
      <c r="F1401" s="22" t="str">
        <f aca="false">IF(D1401="","",IFERROR(INDEX(Setup!$C$8:$C$37,MATCH(D1401,Setup!$B$8:$B$37,0)),"Check category"))</f>
        <v/>
      </c>
      <c r="G1401" s="23" t="str">
        <f aca="false">IF(B1401="","",MONTH(B1401))</f>
        <v/>
      </c>
      <c r="H1401" s="23" t="str">
        <f aca="false">IF(B1401="","",YEAR(B1401))</f>
        <v/>
      </c>
    </row>
    <row r="1402" customFormat="false" ht="15" hidden="false" customHeight="false" outlineLevel="0" collapsed="false">
      <c r="B1402" s="21"/>
      <c r="C1402" s="16"/>
      <c r="D1402" s="16"/>
      <c r="E1402" s="17"/>
      <c r="F1402" s="22" t="str">
        <f aca="false">IF(D1402="","",IFERROR(INDEX(Setup!$C$8:$C$37,MATCH(D1402,Setup!$B$8:$B$37,0)),"Check category"))</f>
        <v/>
      </c>
      <c r="G1402" s="23" t="str">
        <f aca="false">IF(B1402="","",MONTH(B1402))</f>
        <v/>
      </c>
      <c r="H1402" s="23" t="str">
        <f aca="false">IF(B1402="","",YEAR(B1402))</f>
        <v/>
      </c>
    </row>
    <row r="1403" customFormat="false" ht="15" hidden="false" customHeight="false" outlineLevel="0" collapsed="false">
      <c r="B1403" s="21"/>
      <c r="C1403" s="16"/>
      <c r="D1403" s="16"/>
      <c r="E1403" s="17"/>
      <c r="F1403" s="22" t="str">
        <f aca="false">IF(D1403="","",IFERROR(INDEX(Setup!$C$8:$C$37,MATCH(D1403,Setup!$B$8:$B$37,0)),"Check category"))</f>
        <v/>
      </c>
      <c r="G1403" s="23" t="str">
        <f aca="false">IF(B1403="","",MONTH(B1403))</f>
        <v/>
      </c>
      <c r="H1403" s="23" t="str">
        <f aca="false">IF(B1403="","",YEAR(B1403))</f>
        <v/>
      </c>
    </row>
    <row r="1404" customFormat="false" ht="15" hidden="false" customHeight="false" outlineLevel="0" collapsed="false">
      <c r="B1404" s="21"/>
      <c r="C1404" s="16"/>
      <c r="D1404" s="16"/>
      <c r="E1404" s="17"/>
      <c r="F1404" s="22" t="str">
        <f aca="false">IF(D1404="","",IFERROR(INDEX(Setup!$C$8:$C$37,MATCH(D1404,Setup!$B$8:$B$37,0)),"Check category"))</f>
        <v/>
      </c>
      <c r="G1404" s="23" t="str">
        <f aca="false">IF(B1404="","",MONTH(B1404))</f>
        <v/>
      </c>
      <c r="H1404" s="23" t="str">
        <f aca="false">IF(B1404="","",YEAR(B1404))</f>
        <v/>
      </c>
    </row>
    <row r="1405" customFormat="false" ht="15" hidden="false" customHeight="false" outlineLevel="0" collapsed="false">
      <c r="B1405" s="21"/>
      <c r="C1405" s="16"/>
      <c r="D1405" s="16"/>
      <c r="E1405" s="17"/>
      <c r="F1405" s="22" t="str">
        <f aca="false">IF(D1405="","",IFERROR(INDEX(Setup!$C$8:$C$37,MATCH(D1405,Setup!$B$8:$B$37,0)),"Check category"))</f>
        <v/>
      </c>
      <c r="G1405" s="23" t="str">
        <f aca="false">IF(B1405="","",MONTH(B1405))</f>
        <v/>
      </c>
      <c r="H1405" s="23" t="str">
        <f aca="false">IF(B1405="","",YEAR(B1405))</f>
        <v/>
      </c>
    </row>
    <row r="1406" customFormat="false" ht="15" hidden="false" customHeight="false" outlineLevel="0" collapsed="false">
      <c r="B1406" s="21"/>
      <c r="C1406" s="16"/>
      <c r="D1406" s="16"/>
      <c r="E1406" s="17"/>
      <c r="F1406" s="22" t="str">
        <f aca="false">IF(D1406="","",IFERROR(INDEX(Setup!$C$8:$C$37,MATCH(D1406,Setup!$B$8:$B$37,0)),"Check category"))</f>
        <v/>
      </c>
      <c r="G1406" s="23" t="str">
        <f aca="false">IF(B1406="","",MONTH(B1406))</f>
        <v/>
      </c>
      <c r="H1406" s="23" t="str">
        <f aca="false">IF(B1406="","",YEAR(B1406))</f>
        <v/>
      </c>
    </row>
    <row r="1407" customFormat="false" ht="15" hidden="false" customHeight="false" outlineLevel="0" collapsed="false">
      <c r="B1407" s="21"/>
      <c r="C1407" s="16"/>
      <c r="D1407" s="16"/>
      <c r="E1407" s="17"/>
      <c r="F1407" s="22" t="str">
        <f aca="false">IF(D1407="","",IFERROR(INDEX(Setup!$C$8:$C$37,MATCH(D1407,Setup!$B$8:$B$37,0)),"Check category"))</f>
        <v/>
      </c>
      <c r="G1407" s="23" t="str">
        <f aca="false">IF(B1407="","",MONTH(B1407))</f>
        <v/>
      </c>
      <c r="H1407" s="23" t="str">
        <f aca="false">IF(B1407="","",YEAR(B1407))</f>
        <v/>
      </c>
    </row>
    <row r="1408" customFormat="false" ht="15" hidden="false" customHeight="false" outlineLevel="0" collapsed="false">
      <c r="B1408" s="21"/>
      <c r="C1408" s="16"/>
      <c r="D1408" s="16"/>
      <c r="E1408" s="17"/>
      <c r="F1408" s="22" t="str">
        <f aca="false">IF(D1408="","",IFERROR(INDEX(Setup!$C$8:$C$37,MATCH(D1408,Setup!$B$8:$B$37,0)),"Check category"))</f>
        <v/>
      </c>
      <c r="G1408" s="23" t="str">
        <f aca="false">IF(B1408="","",MONTH(B1408))</f>
        <v/>
      </c>
      <c r="H1408" s="23" t="str">
        <f aca="false">IF(B1408="","",YEAR(B1408))</f>
        <v/>
      </c>
    </row>
    <row r="1409" customFormat="false" ht="15" hidden="false" customHeight="false" outlineLevel="0" collapsed="false">
      <c r="B1409" s="21"/>
      <c r="C1409" s="16"/>
      <c r="D1409" s="16"/>
      <c r="E1409" s="17"/>
      <c r="F1409" s="22" t="str">
        <f aca="false">IF(D1409="","",IFERROR(INDEX(Setup!$C$8:$C$37,MATCH(D1409,Setup!$B$8:$B$37,0)),"Check category"))</f>
        <v/>
      </c>
      <c r="G1409" s="23" t="str">
        <f aca="false">IF(B1409="","",MONTH(B1409))</f>
        <v/>
      </c>
      <c r="H1409" s="23" t="str">
        <f aca="false">IF(B1409="","",YEAR(B1409))</f>
        <v/>
      </c>
    </row>
    <row r="1410" customFormat="false" ht="15" hidden="false" customHeight="false" outlineLevel="0" collapsed="false">
      <c r="B1410" s="21"/>
      <c r="C1410" s="16"/>
      <c r="D1410" s="16"/>
      <c r="E1410" s="17"/>
      <c r="F1410" s="22" t="str">
        <f aca="false">IF(D1410="","",IFERROR(INDEX(Setup!$C$8:$C$37,MATCH(D1410,Setup!$B$8:$B$37,0)),"Check category"))</f>
        <v/>
      </c>
      <c r="G1410" s="23" t="str">
        <f aca="false">IF(B1410="","",MONTH(B1410))</f>
        <v/>
      </c>
      <c r="H1410" s="23" t="str">
        <f aca="false">IF(B1410="","",YEAR(B1410))</f>
        <v/>
      </c>
    </row>
    <row r="1411" customFormat="false" ht="15" hidden="false" customHeight="false" outlineLevel="0" collapsed="false">
      <c r="B1411" s="21"/>
      <c r="C1411" s="16"/>
      <c r="D1411" s="16"/>
      <c r="E1411" s="17"/>
      <c r="F1411" s="22" t="str">
        <f aca="false">IF(D1411="","",IFERROR(INDEX(Setup!$C$8:$C$37,MATCH(D1411,Setup!$B$8:$B$37,0)),"Check category"))</f>
        <v/>
      </c>
      <c r="G1411" s="23" t="str">
        <f aca="false">IF(B1411="","",MONTH(B1411))</f>
        <v/>
      </c>
      <c r="H1411" s="23" t="str">
        <f aca="false">IF(B1411="","",YEAR(B1411))</f>
        <v/>
      </c>
    </row>
    <row r="1412" customFormat="false" ht="15" hidden="false" customHeight="false" outlineLevel="0" collapsed="false">
      <c r="B1412" s="21"/>
      <c r="C1412" s="16"/>
      <c r="D1412" s="16"/>
      <c r="E1412" s="17"/>
      <c r="F1412" s="22" t="str">
        <f aca="false">IF(D1412="","",IFERROR(INDEX(Setup!$C$8:$C$37,MATCH(D1412,Setup!$B$8:$B$37,0)),"Check category"))</f>
        <v/>
      </c>
      <c r="G1412" s="23" t="str">
        <f aca="false">IF(B1412="","",MONTH(B1412))</f>
        <v/>
      </c>
      <c r="H1412" s="23" t="str">
        <f aca="false">IF(B1412="","",YEAR(B1412))</f>
        <v/>
      </c>
    </row>
    <row r="1413" customFormat="false" ht="15" hidden="false" customHeight="false" outlineLevel="0" collapsed="false">
      <c r="B1413" s="21"/>
      <c r="C1413" s="16"/>
      <c r="D1413" s="16"/>
      <c r="E1413" s="17"/>
      <c r="F1413" s="22" t="str">
        <f aca="false">IF(D1413="","",IFERROR(INDEX(Setup!$C$8:$C$37,MATCH(D1413,Setup!$B$8:$B$37,0)),"Check category"))</f>
        <v/>
      </c>
      <c r="G1413" s="23" t="str">
        <f aca="false">IF(B1413="","",MONTH(B1413))</f>
        <v/>
      </c>
      <c r="H1413" s="23" t="str">
        <f aca="false">IF(B1413="","",YEAR(B1413))</f>
        <v/>
      </c>
    </row>
    <row r="1414" customFormat="false" ht="15" hidden="false" customHeight="false" outlineLevel="0" collapsed="false">
      <c r="B1414" s="21"/>
      <c r="C1414" s="16"/>
      <c r="D1414" s="16"/>
      <c r="E1414" s="17"/>
      <c r="F1414" s="22" t="str">
        <f aca="false">IF(D1414="","",IFERROR(INDEX(Setup!$C$8:$C$37,MATCH(D1414,Setup!$B$8:$B$37,0)),"Check category"))</f>
        <v/>
      </c>
      <c r="G1414" s="23" t="str">
        <f aca="false">IF(B1414="","",MONTH(B1414))</f>
        <v/>
      </c>
      <c r="H1414" s="23" t="str">
        <f aca="false">IF(B1414="","",YEAR(B1414))</f>
        <v/>
      </c>
    </row>
    <row r="1415" customFormat="false" ht="15" hidden="false" customHeight="false" outlineLevel="0" collapsed="false">
      <c r="B1415" s="21"/>
      <c r="C1415" s="16"/>
      <c r="D1415" s="16"/>
      <c r="E1415" s="17"/>
      <c r="F1415" s="22" t="str">
        <f aca="false">IF(D1415="","",IFERROR(INDEX(Setup!$C$8:$C$37,MATCH(D1415,Setup!$B$8:$B$37,0)),"Check category"))</f>
        <v/>
      </c>
      <c r="G1415" s="23" t="str">
        <f aca="false">IF(B1415="","",MONTH(B1415))</f>
        <v/>
      </c>
      <c r="H1415" s="23" t="str">
        <f aca="false">IF(B1415="","",YEAR(B1415))</f>
        <v/>
      </c>
    </row>
    <row r="1416" customFormat="false" ht="15" hidden="false" customHeight="false" outlineLevel="0" collapsed="false">
      <c r="B1416" s="21"/>
      <c r="C1416" s="16"/>
      <c r="D1416" s="16"/>
      <c r="E1416" s="17"/>
      <c r="F1416" s="22" t="str">
        <f aca="false">IF(D1416="","",IFERROR(INDEX(Setup!$C$8:$C$37,MATCH(D1416,Setup!$B$8:$B$37,0)),"Check category"))</f>
        <v/>
      </c>
      <c r="G1416" s="23" t="str">
        <f aca="false">IF(B1416="","",MONTH(B1416))</f>
        <v/>
      </c>
      <c r="H1416" s="23" t="str">
        <f aca="false">IF(B1416="","",YEAR(B1416))</f>
        <v/>
      </c>
    </row>
    <row r="1417" customFormat="false" ht="15" hidden="false" customHeight="false" outlineLevel="0" collapsed="false">
      <c r="B1417" s="21"/>
      <c r="C1417" s="16"/>
      <c r="D1417" s="16"/>
      <c r="E1417" s="17"/>
      <c r="F1417" s="22" t="str">
        <f aca="false">IF(D1417="","",IFERROR(INDEX(Setup!$C$8:$C$37,MATCH(D1417,Setup!$B$8:$B$37,0)),"Check category"))</f>
        <v/>
      </c>
      <c r="G1417" s="23" t="str">
        <f aca="false">IF(B1417="","",MONTH(B1417))</f>
        <v/>
      </c>
      <c r="H1417" s="23" t="str">
        <f aca="false">IF(B1417="","",YEAR(B1417))</f>
        <v/>
      </c>
    </row>
    <row r="1418" customFormat="false" ht="15" hidden="false" customHeight="false" outlineLevel="0" collapsed="false">
      <c r="B1418" s="21"/>
      <c r="C1418" s="16"/>
      <c r="D1418" s="16"/>
      <c r="E1418" s="17"/>
      <c r="F1418" s="22" t="str">
        <f aca="false">IF(D1418="","",IFERROR(INDEX(Setup!$C$8:$C$37,MATCH(D1418,Setup!$B$8:$B$37,0)),"Check category"))</f>
        <v/>
      </c>
      <c r="G1418" s="23" t="str">
        <f aca="false">IF(B1418="","",MONTH(B1418))</f>
        <v/>
      </c>
      <c r="H1418" s="23" t="str">
        <f aca="false">IF(B1418="","",YEAR(B1418))</f>
        <v/>
      </c>
    </row>
    <row r="1419" customFormat="false" ht="15" hidden="false" customHeight="false" outlineLevel="0" collapsed="false">
      <c r="B1419" s="21"/>
      <c r="C1419" s="16"/>
      <c r="D1419" s="16"/>
      <c r="E1419" s="17"/>
      <c r="F1419" s="22" t="str">
        <f aca="false">IF(D1419="","",IFERROR(INDEX(Setup!$C$8:$C$37,MATCH(D1419,Setup!$B$8:$B$37,0)),"Check category"))</f>
        <v/>
      </c>
      <c r="G1419" s="23" t="str">
        <f aca="false">IF(B1419="","",MONTH(B1419))</f>
        <v/>
      </c>
      <c r="H1419" s="23" t="str">
        <f aca="false">IF(B1419="","",YEAR(B1419))</f>
        <v/>
      </c>
    </row>
    <row r="1420" customFormat="false" ht="15" hidden="false" customHeight="false" outlineLevel="0" collapsed="false">
      <c r="B1420" s="21"/>
      <c r="C1420" s="16"/>
      <c r="D1420" s="16"/>
      <c r="E1420" s="17"/>
      <c r="F1420" s="22" t="str">
        <f aca="false">IF(D1420="","",IFERROR(INDEX(Setup!$C$8:$C$37,MATCH(D1420,Setup!$B$8:$B$37,0)),"Check category"))</f>
        <v/>
      </c>
      <c r="G1420" s="23" t="str">
        <f aca="false">IF(B1420="","",MONTH(B1420))</f>
        <v/>
      </c>
      <c r="H1420" s="23" t="str">
        <f aca="false">IF(B1420="","",YEAR(B1420))</f>
        <v/>
      </c>
    </row>
    <row r="1421" customFormat="false" ht="15" hidden="false" customHeight="false" outlineLevel="0" collapsed="false">
      <c r="B1421" s="21"/>
      <c r="C1421" s="16"/>
      <c r="D1421" s="16"/>
      <c r="E1421" s="17"/>
      <c r="F1421" s="22" t="str">
        <f aca="false">IF(D1421="","",IFERROR(INDEX(Setup!$C$8:$C$37,MATCH(D1421,Setup!$B$8:$B$37,0)),"Check category"))</f>
        <v/>
      </c>
      <c r="G1421" s="23" t="str">
        <f aca="false">IF(B1421="","",MONTH(B1421))</f>
        <v/>
      </c>
      <c r="H1421" s="23" t="str">
        <f aca="false">IF(B1421="","",YEAR(B1421))</f>
        <v/>
      </c>
    </row>
    <row r="1422" customFormat="false" ht="15" hidden="false" customHeight="false" outlineLevel="0" collapsed="false">
      <c r="B1422" s="21"/>
      <c r="C1422" s="16"/>
      <c r="D1422" s="16"/>
      <c r="E1422" s="17"/>
      <c r="F1422" s="22" t="str">
        <f aca="false">IF(D1422="","",IFERROR(INDEX(Setup!$C$8:$C$37,MATCH(D1422,Setup!$B$8:$B$37,0)),"Check category"))</f>
        <v/>
      </c>
      <c r="G1422" s="23" t="str">
        <f aca="false">IF(B1422="","",MONTH(B1422))</f>
        <v/>
      </c>
      <c r="H1422" s="23" t="str">
        <f aca="false">IF(B1422="","",YEAR(B1422))</f>
        <v/>
      </c>
    </row>
    <row r="1423" customFormat="false" ht="15" hidden="false" customHeight="false" outlineLevel="0" collapsed="false">
      <c r="B1423" s="21"/>
      <c r="C1423" s="16"/>
      <c r="D1423" s="16"/>
      <c r="E1423" s="17"/>
      <c r="F1423" s="22" t="str">
        <f aca="false">IF(D1423="","",IFERROR(INDEX(Setup!$C$8:$C$37,MATCH(D1423,Setup!$B$8:$B$37,0)),"Check category"))</f>
        <v/>
      </c>
      <c r="G1423" s="23" t="str">
        <f aca="false">IF(B1423="","",MONTH(B1423))</f>
        <v/>
      </c>
      <c r="H1423" s="23" t="str">
        <f aca="false">IF(B1423="","",YEAR(B1423))</f>
        <v/>
      </c>
    </row>
    <row r="1424" customFormat="false" ht="15" hidden="false" customHeight="false" outlineLevel="0" collapsed="false">
      <c r="B1424" s="21"/>
      <c r="C1424" s="16"/>
      <c r="D1424" s="16"/>
      <c r="E1424" s="17"/>
      <c r="F1424" s="22" t="str">
        <f aca="false">IF(D1424="","",IFERROR(INDEX(Setup!$C$8:$C$37,MATCH(D1424,Setup!$B$8:$B$37,0)),"Check category"))</f>
        <v/>
      </c>
      <c r="G1424" s="23" t="str">
        <f aca="false">IF(B1424="","",MONTH(B1424))</f>
        <v/>
      </c>
      <c r="H1424" s="23" t="str">
        <f aca="false">IF(B1424="","",YEAR(B1424))</f>
        <v/>
      </c>
    </row>
    <row r="1425" customFormat="false" ht="15" hidden="false" customHeight="false" outlineLevel="0" collapsed="false">
      <c r="B1425" s="21"/>
      <c r="C1425" s="16"/>
      <c r="D1425" s="16"/>
      <c r="E1425" s="17"/>
      <c r="F1425" s="22" t="str">
        <f aca="false">IF(D1425="","",IFERROR(INDEX(Setup!$C$8:$C$37,MATCH(D1425,Setup!$B$8:$B$37,0)),"Check category"))</f>
        <v/>
      </c>
      <c r="G1425" s="23" t="str">
        <f aca="false">IF(B1425="","",MONTH(B1425))</f>
        <v/>
      </c>
      <c r="H1425" s="23" t="str">
        <f aca="false">IF(B1425="","",YEAR(B1425))</f>
        <v/>
      </c>
    </row>
    <row r="1426" customFormat="false" ht="15" hidden="false" customHeight="false" outlineLevel="0" collapsed="false">
      <c r="B1426" s="21"/>
      <c r="C1426" s="16"/>
      <c r="D1426" s="16"/>
      <c r="E1426" s="17"/>
      <c r="F1426" s="22" t="str">
        <f aca="false">IF(D1426="","",IFERROR(INDEX(Setup!$C$8:$C$37,MATCH(D1426,Setup!$B$8:$B$37,0)),"Check category"))</f>
        <v/>
      </c>
      <c r="G1426" s="23" t="str">
        <f aca="false">IF(B1426="","",MONTH(B1426))</f>
        <v/>
      </c>
      <c r="H1426" s="23" t="str">
        <f aca="false">IF(B1426="","",YEAR(B1426))</f>
        <v/>
      </c>
    </row>
    <row r="1427" customFormat="false" ht="15" hidden="false" customHeight="false" outlineLevel="0" collapsed="false">
      <c r="B1427" s="21"/>
      <c r="C1427" s="16"/>
      <c r="D1427" s="16"/>
      <c r="E1427" s="17"/>
      <c r="F1427" s="22" t="str">
        <f aca="false">IF(D1427="","",IFERROR(INDEX(Setup!$C$8:$C$37,MATCH(D1427,Setup!$B$8:$B$37,0)),"Check category"))</f>
        <v/>
      </c>
      <c r="G1427" s="23" t="str">
        <f aca="false">IF(B1427="","",MONTH(B1427))</f>
        <v/>
      </c>
      <c r="H1427" s="23" t="str">
        <f aca="false">IF(B1427="","",YEAR(B1427))</f>
        <v/>
      </c>
    </row>
    <row r="1428" customFormat="false" ht="15" hidden="false" customHeight="false" outlineLevel="0" collapsed="false">
      <c r="B1428" s="21"/>
      <c r="C1428" s="16"/>
      <c r="D1428" s="16"/>
      <c r="E1428" s="17"/>
      <c r="F1428" s="22" t="str">
        <f aca="false">IF(D1428="","",IFERROR(INDEX(Setup!$C$8:$C$37,MATCH(D1428,Setup!$B$8:$B$37,0)),"Check category"))</f>
        <v/>
      </c>
      <c r="G1428" s="23" t="str">
        <f aca="false">IF(B1428="","",MONTH(B1428))</f>
        <v/>
      </c>
      <c r="H1428" s="23" t="str">
        <f aca="false">IF(B1428="","",YEAR(B1428))</f>
        <v/>
      </c>
    </row>
    <row r="1429" customFormat="false" ht="15" hidden="false" customHeight="false" outlineLevel="0" collapsed="false">
      <c r="B1429" s="21"/>
      <c r="C1429" s="16"/>
      <c r="D1429" s="16"/>
      <c r="E1429" s="17"/>
      <c r="F1429" s="22" t="str">
        <f aca="false">IF(D1429="","",IFERROR(INDEX(Setup!$C$8:$C$37,MATCH(D1429,Setup!$B$8:$B$37,0)),"Check category"))</f>
        <v/>
      </c>
      <c r="G1429" s="23" t="str">
        <f aca="false">IF(B1429="","",MONTH(B1429))</f>
        <v/>
      </c>
      <c r="H1429" s="23" t="str">
        <f aca="false">IF(B1429="","",YEAR(B1429))</f>
        <v/>
      </c>
    </row>
    <row r="1430" customFormat="false" ht="15" hidden="false" customHeight="false" outlineLevel="0" collapsed="false">
      <c r="B1430" s="21"/>
      <c r="C1430" s="16"/>
      <c r="D1430" s="16"/>
      <c r="E1430" s="17"/>
      <c r="F1430" s="22" t="str">
        <f aca="false">IF(D1430="","",IFERROR(INDEX(Setup!$C$8:$C$37,MATCH(D1430,Setup!$B$8:$B$37,0)),"Check category"))</f>
        <v/>
      </c>
      <c r="G1430" s="23" t="str">
        <f aca="false">IF(B1430="","",MONTH(B1430))</f>
        <v/>
      </c>
      <c r="H1430" s="23" t="str">
        <f aca="false">IF(B1430="","",YEAR(B1430))</f>
        <v/>
      </c>
    </row>
    <row r="1431" customFormat="false" ht="15" hidden="false" customHeight="false" outlineLevel="0" collapsed="false">
      <c r="B1431" s="21"/>
      <c r="C1431" s="16"/>
      <c r="D1431" s="16"/>
      <c r="E1431" s="17"/>
      <c r="F1431" s="22" t="str">
        <f aca="false">IF(D1431="","",IFERROR(INDEX(Setup!$C$8:$C$37,MATCH(D1431,Setup!$B$8:$B$37,0)),"Check category"))</f>
        <v/>
      </c>
      <c r="G1431" s="23" t="str">
        <f aca="false">IF(B1431="","",MONTH(B1431))</f>
        <v/>
      </c>
      <c r="H1431" s="23" t="str">
        <f aca="false">IF(B1431="","",YEAR(B1431))</f>
        <v/>
      </c>
    </row>
    <row r="1432" customFormat="false" ht="15" hidden="false" customHeight="false" outlineLevel="0" collapsed="false">
      <c r="B1432" s="21"/>
      <c r="C1432" s="16"/>
      <c r="D1432" s="16"/>
      <c r="E1432" s="17"/>
      <c r="F1432" s="22" t="str">
        <f aca="false">IF(D1432="","",IFERROR(INDEX(Setup!$C$8:$C$37,MATCH(D1432,Setup!$B$8:$B$37,0)),"Check category"))</f>
        <v/>
      </c>
      <c r="G1432" s="23" t="str">
        <f aca="false">IF(B1432="","",MONTH(B1432))</f>
        <v/>
      </c>
      <c r="H1432" s="23" t="str">
        <f aca="false">IF(B1432="","",YEAR(B1432))</f>
        <v/>
      </c>
    </row>
    <row r="1433" customFormat="false" ht="15" hidden="false" customHeight="false" outlineLevel="0" collapsed="false">
      <c r="B1433" s="21"/>
      <c r="C1433" s="16"/>
      <c r="D1433" s="16"/>
      <c r="E1433" s="17"/>
      <c r="F1433" s="22" t="str">
        <f aca="false">IF(D1433="","",IFERROR(INDEX(Setup!$C$8:$C$37,MATCH(D1433,Setup!$B$8:$B$37,0)),"Check category"))</f>
        <v/>
      </c>
      <c r="G1433" s="23" t="str">
        <f aca="false">IF(B1433="","",MONTH(B1433))</f>
        <v/>
      </c>
      <c r="H1433" s="23" t="str">
        <f aca="false">IF(B1433="","",YEAR(B1433))</f>
        <v/>
      </c>
    </row>
    <row r="1434" customFormat="false" ht="15" hidden="false" customHeight="false" outlineLevel="0" collapsed="false">
      <c r="B1434" s="21"/>
      <c r="C1434" s="16"/>
      <c r="D1434" s="16"/>
      <c r="E1434" s="17"/>
      <c r="F1434" s="22" t="str">
        <f aca="false">IF(D1434="","",IFERROR(INDEX(Setup!$C$8:$C$37,MATCH(D1434,Setup!$B$8:$B$37,0)),"Check category"))</f>
        <v/>
      </c>
      <c r="G1434" s="23" t="str">
        <f aca="false">IF(B1434="","",MONTH(B1434))</f>
        <v/>
      </c>
      <c r="H1434" s="23" t="str">
        <f aca="false">IF(B1434="","",YEAR(B1434))</f>
        <v/>
      </c>
    </row>
    <row r="1435" customFormat="false" ht="15" hidden="false" customHeight="false" outlineLevel="0" collapsed="false">
      <c r="B1435" s="21"/>
      <c r="C1435" s="16"/>
      <c r="D1435" s="16"/>
      <c r="E1435" s="17"/>
      <c r="F1435" s="22" t="str">
        <f aca="false">IF(D1435="","",IFERROR(INDEX(Setup!$C$8:$C$37,MATCH(D1435,Setup!$B$8:$B$37,0)),"Check category"))</f>
        <v/>
      </c>
      <c r="G1435" s="23" t="str">
        <f aca="false">IF(B1435="","",MONTH(B1435))</f>
        <v/>
      </c>
      <c r="H1435" s="23" t="str">
        <f aca="false">IF(B1435="","",YEAR(B1435))</f>
        <v/>
      </c>
    </row>
    <row r="1436" customFormat="false" ht="15" hidden="false" customHeight="false" outlineLevel="0" collapsed="false">
      <c r="B1436" s="21"/>
      <c r="C1436" s="16"/>
      <c r="D1436" s="16"/>
      <c r="E1436" s="17"/>
      <c r="F1436" s="22" t="str">
        <f aca="false">IF(D1436="","",IFERROR(INDEX(Setup!$C$8:$C$37,MATCH(D1436,Setup!$B$8:$B$37,0)),"Check category"))</f>
        <v/>
      </c>
      <c r="G1436" s="23" t="str">
        <f aca="false">IF(B1436="","",MONTH(B1436))</f>
        <v/>
      </c>
      <c r="H1436" s="23" t="str">
        <f aca="false">IF(B1436="","",YEAR(B1436))</f>
        <v/>
      </c>
    </row>
    <row r="1437" customFormat="false" ht="15" hidden="false" customHeight="false" outlineLevel="0" collapsed="false">
      <c r="B1437" s="21"/>
      <c r="C1437" s="16"/>
      <c r="D1437" s="16"/>
      <c r="E1437" s="17"/>
      <c r="F1437" s="22" t="str">
        <f aca="false">IF(D1437="","",IFERROR(INDEX(Setup!$C$8:$C$37,MATCH(D1437,Setup!$B$8:$B$37,0)),"Check category"))</f>
        <v/>
      </c>
      <c r="G1437" s="23" t="str">
        <f aca="false">IF(B1437="","",MONTH(B1437))</f>
        <v/>
      </c>
      <c r="H1437" s="23" t="str">
        <f aca="false">IF(B1437="","",YEAR(B1437))</f>
        <v/>
      </c>
    </row>
    <row r="1438" customFormat="false" ht="15" hidden="false" customHeight="false" outlineLevel="0" collapsed="false">
      <c r="B1438" s="21"/>
      <c r="C1438" s="16"/>
      <c r="D1438" s="16"/>
      <c r="E1438" s="17"/>
      <c r="F1438" s="22" t="str">
        <f aca="false">IF(D1438="","",IFERROR(INDEX(Setup!$C$8:$C$37,MATCH(D1438,Setup!$B$8:$B$37,0)),"Check category"))</f>
        <v/>
      </c>
      <c r="G1438" s="23" t="str">
        <f aca="false">IF(B1438="","",MONTH(B1438))</f>
        <v/>
      </c>
      <c r="H1438" s="23" t="str">
        <f aca="false">IF(B1438="","",YEAR(B1438))</f>
        <v/>
      </c>
    </row>
    <row r="1439" customFormat="false" ht="15" hidden="false" customHeight="false" outlineLevel="0" collapsed="false">
      <c r="B1439" s="21"/>
      <c r="C1439" s="16"/>
      <c r="D1439" s="16"/>
      <c r="E1439" s="17"/>
      <c r="F1439" s="22" t="str">
        <f aca="false">IF(D1439="","",IFERROR(INDEX(Setup!$C$8:$C$37,MATCH(D1439,Setup!$B$8:$B$37,0)),"Check category"))</f>
        <v/>
      </c>
      <c r="G1439" s="23" t="str">
        <f aca="false">IF(B1439="","",MONTH(B1439))</f>
        <v/>
      </c>
      <c r="H1439" s="23" t="str">
        <f aca="false">IF(B1439="","",YEAR(B1439))</f>
        <v/>
      </c>
    </row>
    <row r="1440" customFormat="false" ht="15" hidden="false" customHeight="false" outlineLevel="0" collapsed="false">
      <c r="B1440" s="21"/>
      <c r="C1440" s="16"/>
      <c r="D1440" s="16"/>
      <c r="E1440" s="17"/>
      <c r="F1440" s="22" t="str">
        <f aca="false">IF(D1440="","",IFERROR(INDEX(Setup!$C$8:$C$37,MATCH(D1440,Setup!$B$8:$B$37,0)),"Check category"))</f>
        <v/>
      </c>
      <c r="G1440" s="23" t="str">
        <f aca="false">IF(B1440="","",MONTH(B1440))</f>
        <v/>
      </c>
      <c r="H1440" s="23" t="str">
        <f aca="false">IF(B1440="","",YEAR(B1440))</f>
        <v/>
      </c>
    </row>
    <row r="1441" customFormat="false" ht="15" hidden="false" customHeight="false" outlineLevel="0" collapsed="false">
      <c r="B1441" s="21"/>
      <c r="C1441" s="16"/>
      <c r="D1441" s="16"/>
      <c r="E1441" s="17"/>
      <c r="F1441" s="22" t="str">
        <f aca="false">IF(D1441="","",IFERROR(INDEX(Setup!$C$8:$C$37,MATCH(D1441,Setup!$B$8:$B$37,0)),"Check category"))</f>
        <v/>
      </c>
      <c r="G1441" s="23" t="str">
        <f aca="false">IF(B1441="","",MONTH(B1441))</f>
        <v/>
      </c>
      <c r="H1441" s="23" t="str">
        <f aca="false">IF(B1441="","",YEAR(B1441))</f>
        <v/>
      </c>
    </row>
    <row r="1442" customFormat="false" ht="15" hidden="false" customHeight="false" outlineLevel="0" collapsed="false">
      <c r="B1442" s="21"/>
      <c r="C1442" s="16"/>
      <c r="D1442" s="16"/>
      <c r="E1442" s="17"/>
      <c r="F1442" s="22" t="str">
        <f aca="false">IF(D1442="","",IFERROR(INDEX(Setup!$C$8:$C$37,MATCH(D1442,Setup!$B$8:$B$37,0)),"Check category"))</f>
        <v/>
      </c>
      <c r="G1442" s="23" t="str">
        <f aca="false">IF(B1442="","",MONTH(B1442))</f>
        <v/>
      </c>
      <c r="H1442" s="23" t="str">
        <f aca="false">IF(B1442="","",YEAR(B1442))</f>
        <v/>
      </c>
    </row>
    <row r="1443" customFormat="false" ht="15" hidden="false" customHeight="false" outlineLevel="0" collapsed="false">
      <c r="B1443" s="21"/>
      <c r="C1443" s="16"/>
      <c r="D1443" s="16"/>
      <c r="E1443" s="17"/>
      <c r="F1443" s="22" t="str">
        <f aca="false">IF(D1443="","",IFERROR(INDEX(Setup!$C$8:$C$37,MATCH(D1443,Setup!$B$8:$B$37,0)),"Check category"))</f>
        <v/>
      </c>
      <c r="G1443" s="23" t="str">
        <f aca="false">IF(B1443="","",MONTH(B1443))</f>
        <v/>
      </c>
      <c r="H1443" s="23" t="str">
        <f aca="false">IF(B1443="","",YEAR(B1443))</f>
        <v/>
      </c>
    </row>
    <row r="1444" customFormat="false" ht="15" hidden="false" customHeight="false" outlineLevel="0" collapsed="false">
      <c r="B1444" s="21"/>
      <c r="C1444" s="16"/>
      <c r="D1444" s="16"/>
      <c r="E1444" s="17"/>
      <c r="F1444" s="22" t="str">
        <f aca="false">IF(D1444="","",IFERROR(INDEX(Setup!$C$8:$C$37,MATCH(D1444,Setup!$B$8:$B$37,0)),"Check category"))</f>
        <v/>
      </c>
      <c r="G1444" s="23" t="str">
        <f aca="false">IF(B1444="","",MONTH(B1444))</f>
        <v/>
      </c>
      <c r="H1444" s="23" t="str">
        <f aca="false">IF(B1444="","",YEAR(B1444))</f>
        <v/>
      </c>
    </row>
    <row r="1445" customFormat="false" ht="15" hidden="false" customHeight="false" outlineLevel="0" collapsed="false">
      <c r="B1445" s="21"/>
      <c r="C1445" s="16"/>
      <c r="D1445" s="16"/>
      <c r="E1445" s="17"/>
      <c r="F1445" s="22" t="str">
        <f aca="false">IF(D1445="","",IFERROR(INDEX(Setup!$C$8:$C$37,MATCH(D1445,Setup!$B$8:$B$37,0)),"Check category"))</f>
        <v/>
      </c>
      <c r="G1445" s="23" t="str">
        <f aca="false">IF(B1445="","",MONTH(B1445))</f>
        <v/>
      </c>
      <c r="H1445" s="23" t="str">
        <f aca="false">IF(B1445="","",YEAR(B1445))</f>
        <v/>
      </c>
    </row>
    <row r="1446" customFormat="false" ht="15" hidden="false" customHeight="false" outlineLevel="0" collapsed="false">
      <c r="B1446" s="21"/>
      <c r="C1446" s="16"/>
      <c r="D1446" s="16"/>
      <c r="E1446" s="17"/>
      <c r="F1446" s="22" t="str">
        <f aca="false">IF(D1446="","",IFERROR(INDEX(Setup!$C$8:$C$37,MATCH(D1446,Setup!$B$8:$B$37,0)),"Check category"))</f>
        <v/>
      </c>
      <c r="G1446" s="23" t="str">
        <f aca="false">IF(B1446="","",MONTH(B1446))</f>
        <v/>
      </c>
      <c r="H1446" s="23" t="str">
        <f aca="false">IF(B1446="","",YEAR(B1446))</f>
        <v/>
      </c>
    </row>
    <row r="1447" customFormat="false" ht="15" hidden="false" customHeight="false" outlineLevel="0" collapsed="false">
      <c r="B1447" s="21"/>
      <c r="C1447" s="16"/>
      <c r="D1447" s="16"/>
      <c r="E1447" s="17"/>
      <c r="F1447" s="22" t="str">
        <f aca="false">IF(D1447="","",IFERROR(INDEX(Setup!$C$8:$C$37,MATCH(D1447,Setup!$B$8:$B$37,0)),"Check category"))</f>
        <v/>
      </c>
      <c r="G1447" s="23" t="str">
        <f aca="false">IF(B1447="","",MONTH(B1447))</f>
        <v/>
      </c>
      <c r="H1447" s="23" t="str">
        <f aca="false">IF(B1447="","",YEAR(B1447))</f>
        <v/>
      </c>
    </row>
    <row r="1448" customFormat="false" ht="15" hidden="false" customHeight="false" outlineLevel="0" collapsed="false">
      <c r="B1448" s="21"/>
      <c r="C1448" s="16"/>
      <c r="D1448" s="16"/>
      <c r="E1448" s="17"/>
      <c r="F1448" s="22" t="str">
        <f aca="false">IF(D1448="","",IFERROR(INDEX(Setup!$C$8:$C$37,MATCH(D1448,Setup!$B$8:$B$37,0)),"Check category"))</f>
        <v/>
      </c>
      <c r="G1448" s="23" t="str">
        <f aca="false">IF(B1448="","",MONTH(B1448))</f>
        <v/>
      </c>
      <c r="H1448" s="23" t="str">
        <f aca="false">IF(B1448="","",YEAR(B1448))</f>
        <v/>
      </c>
    </row>
    <row r="1449" customFormat="false" ht="15" hidden="false" customHeight="false" outlineLevel="0" collapsed="false">
      <c r="B1449" s="21"/>
      <c r="C1449" s="16"/>
      <c r="D1449" s="16"/>
      <c r="E1449" s="17"/>
      <c r="F1449" s="22" t="str">
        <f aca="false">IF(D1449="","",IFERROR(INDEX(Setup!$C$8:$C$37,MATCH(D1449,Setup!$B$8:$B$37,0)),"Check category"))</f>
        <v/>
      </c>
      <c r="G1449" s="23" t="str">
        <f aca="false">IF(B1449="","",MONTH(B1449))</f>
        <v/>
      </c>
      <c r="H1449" s="23" t="str">
        <f aca="false">IF(B1449="","",YEAR(B1449))</f>
        <v/>
      </c>
    </row>
    <row r="1450" customFormat="false" ht="15" hidden="false" customHeight="false" outlineLevel="0" collapsed="false">
      <c r="B1450" s="21"/>
      <c r="C1450" s="16"/>
      <c r="D1450" s="16"/>
      <c r="E1450" s="17"/>
      <c r="F1450" s="22" t="str">
        <f aca="false">IF(D1450="","",IFERROR(INDEX(Setup!$C$8:$C$37,MATCH(D1450,Setup!$B$8:$B$37,0)),"Check category"))</f>
        <v/>
      </c>
      <c r="G1450" s="23" t="str">
        <f aca="false">IF(B1450="","",MONTH(B1450))</f>
        <v/>
      </c>
      <c r="H1450" s="23" t="str">
        <f aca="false">IF(B1450="","",YEAR(B1450))</f>
        <v/>
      </c>
    </row>
    <row r="1451" customFormat="false" ht="15" hidden="false" customHeight="false" outlineLevel="0" collapsed="false">
      <c r="B1451" s="21"/>
      <c r="C1451" s="16"/>
      <c r="D1451" s="16"/>
      <c r="E1451" s="17"/>
      <c r="F1451" s="22" t="str">
        <f aca="false">IF(D1451="","",IFERROR(INDEX(Setup!$C$8:$C$37,MATCH(D1451,Setup!$B$8:$B$37,0)),"Check category"))</f>
        <v/>
      </c>
      <c r="G1451" s="23" t="str">
        <f aca="false">IF(B1451="","",MONTH(B1451))</f>
        <v/>
      </c>
      <c r="H1451" s="23" t="str">
        <f aca="false">IF(B1451="","",YEAR(B1451))</f>
        <v/>
      </c>
    </row>
    <row r="1452" customFormat="false" ht="15" hidden="false" customHeight="false" outlineLevel="0" collapsed="false">
      <c r="B1452" s="21"/>
      <c r="C1452" s="16"/>
      <c r="D1452" s="16"/>
      <c r="E1452" s="17"/>
      <c r="F1452" s="22" t="str">
        <f aca="false">IF(D1452="","",IFERROR(INDEX(Setup!$C$8:$C$37,MATCH(D1452,Setup!$B$8:$B$37,0)),"Check category"))</f>
        <v/>
      </c>
      <c r="G1452" s="23" t="str">
        <f aca="false">IF(B1452="","",MONTH(B1452))</f>
        <v/>
      </c>
      <c r="H1452" s="23" t="str">
        <f aca="false">IF(B1452="","",YEAR(B1452))</f>
        <v/>
      </c>
    </row>
    <row r="1453" customFormat="false" ht="15" hidden="false" customHeight="false" outlineLevel="0" collapsed="false">
      <c r="B1453" s="21"/>
      <c r="C1453" s="16"/>
      <c r="D1453" s="16"/>
      <c r="E1453" s="17"/>
      <c r="F1453" s="22" t="str">
        <f aca="false">IF(D1453="","",IFERROR(INDEX(Setup!$C$8:$C$37,MATCH(D1453,Setup!$B$8:$B$37,0)),"Check category"))</f>
        <v/>
      </c>
      <c r="G1453" s="23" t="str">
        <f aca="false">IF(B1453="","",MONTH(B1453))</f>
        <v/>
      </c>
      <c r="H1453" s="23" t="str">
        <f aca="false">IF(B1453="","",YEAR(B1453))</f>
        <v/>
      </c>
    </row>
    <row r="1454" customFormat="false" ht="15" hidden="false" customHeight="false" outlineLevel="0" collapsed="false">
      <c r="B1454" s="21"/>
      <c r="C1454" s="16"/>
      <c r="D1454" s="16"/>
      <c r="E1454" s="17"/>
      <c r="F1454" s="22" t="str">
        <f aca="false">IF(D1454="","",IFERROR(INDEX(Setup!$C$8:$C$37,MATCH(D1454,Setup!$B$8:$B$37,0)),"Check category"))</f>
        <v/>
      </c>
      <c r="G1454" s="23" t="str">
        <f aca="false">IF(B1454="","",MONTH(B1454))</f>
        <v/>
      </c>
      <c r="H1454" s="23" t="str">
        <f aca="false">IF(B1454="","",YEAR(B1454))</f>
        <v/>
      </c>
    </row>
    <row r="1455" customFormat="false" ht="15" hidden="false" customHeight="false" outlineLevel="0" collapsed="false">
      <c r="B1455" s="21"/>
      <c r="C1455" s="16"/>
      <c r="D1455" s="16"/>
      <c r="E1455" s="17"/>
      <c r="F1455" s="22" t="str">
        <f aca="false">IF(D1455="","",IFERROR(INDEX(Setup!$C$8:$C$37,MATCH(D1455,Setup!$B$8:$B$37,0)),"Check category"))</f>
        <v/>
      </c>
      <c r="G1455" s="23" t="str">
        <f aca="false">IF(B1455="","",MONTH(B1455))</f>
        <v/>
      </c>
      <c r="H1455" s="23" t="str">
        <f aca="false">IF(B1455="","",YEAR(B1455))</f>
        <v/>
      </c>
    </row>
    <row r="1456" customFormat="false" ht="15" hidden="false" customHeight="false" outlineLevel="0" collapsed="false">
      <c r="B1456" s="21"/>
      <c r="C1456" s="16"/>
      <c r="D1456" s="16"/>
      <c r="E1456" s="17"/>
      <c r="F1456" s="22" t="str">
        <f aca="false">IF(D1456="","",IFERROR(INDEX(Setup!$C$8:$C$37,MATCH(D1456,Setup!$B$8:$B$37,0)),"Check category"))</f>
        <v/>
      </c>
      <c r="G1456" s="23" t="str">
        <f aca="false">IF(B1456="","",MONTH(B1456))</f>
        <v/>
      </c>
      <c r="H1456" s="23" t="str">
        <f aca="false">IF(B1456="","",YEAR(B1456))</f>
        <v/>
      </c>
    </row>
    <row r="1457" customFormat="false" ht="15" hidden="false" customHeight="false" outlineLevel="0" collapsed="false">
      <c r="B1457" s="21"/>
      <c r="C1457" s="16"/>
      <c r="D1457" s="16"/>
      <c r="E1457" s="17"/>
      <c r="F1457" s="22" t="str">
        <f aca="false">IF(D1457="","",IFERROR(INDEX(Setup!$C$8:$C$37,MATCH(D1457,Setup!$B$8:$B$37,0)),"Check category"))</f>
        <v/>
      </c>
      <c r="G1457" s="23" t="str">
        <f aca="false">IF(B1457="","",MONTH(B1457))</f>
        <v/>
      </c>
      <c r="H1457" s="23" t="str">
        <f aca="false">IF(B1457="","",YEAR(B1457))</f>
        <v/>
      </c>
    </row>
    <row r="1458" customFormat="false" ht="15" hidden="false" customHeight="false" outlineLevel="0" collapsed="false">
      <c r="B1458" s="21"/>
      <c r="C1458" s="16"/>
      <c r="D1458" s="16"/>
      <c r="E1458" s="17"/>
      <c r="F1458" s="22" t="str">
        <f aca="false">IF(D1458="","",IFERROR(INDEX(Setup!$C$8:$C$37,MATCH(D1458,Setup!$B$8:$B$37,0)),"Check category"))</f>
        <v/>
      </c>
      <c r="G1458" s="23" t="str">
        <f aca="false">IF(B1458="","",MONTH(B1458))</f>
        <v/>
      </c>
      <c r="H1458" s="23" t="str">
        <f aca="false">IF(B1458="","",YEAR(B1458))</f>
        <v/>
      </c>
    </row>
    <row r="1459" customFormat="false" ht="15" hidden="false" customHeight="false" outlineLevel="0" collapsed="false">
      <c r="B1459" s="21"/>
      <c r="C1459" s="16"/>
      <c r="D1459" s="16"/>
      <c r="E1459" s="17"/>
      <c r="F1459" s="22" t="str">
        <f aca="false">IF(D1459="","",IFERROR(INDEX(Setup!$C$8:$C$37,MATCH(D1459,Setup!$B$8:$B$37,0)),"Check category"))</f>
        <v/>
      </c>
      <c r="G1459" s="23" t="str">
        <f aca="false">IF(B1459="","",MONTH(B1459))</f>
        <v/>
      </c>
      <c r="H1459" s="23" t="str">
        <f aca="false">IF(B1459="","",YEAR(B1459))</f>
        <v/>
      </c>
    </row>
    <row r="1460" customFormat="false" ht="15" hidden="false" customHeight="false" outlineLevel="0" collapsed="false">
      <c r="B1460" s="21"/>
      <c r="C1460" s="16"/>
      <c r="D1460" s="16"/>
      <c r="E1460" s="17"/>
      <c r="F1460" s="22" t="str">
        <f aca="false">IF(D1460="","",IFERROR(INDEX(Setup!$C$8:$C$37,MATCH(D1460,Setup!$B$8:$B$37,0)),"Check category"))</f>
        <v/>
      </c>
      <c r="G1460" s="23" t="str">
        <f aca="false">IF(B1460="","",MONTH(B1460))</f>
        <v/>
      </c>
      <c r="H1460" s="23" t="str">
        <f aca="false">IF(B1460="","",YEAR(B1460))</f>
        <v/>
      </c>
    </row>
    <row r="1461" customFormat="false" ht="15" hidden="false" customHeight="false" outlineLevel="0" collapsed="false">
      <c r="B1461" s="21"/>
      <c r="C1461" s="16"/>
      <c r="D1461" s="16"/>
      <c r="E1461" s="17"/>
      <c r="F1461" s="22" t="str">
        <f aca="false">IF(D1461="","",IFERROR(INDEX(Setup!$C$8:$C$37,MATCH(D1461,Setup!$B$8:$B$37,0)),"Check category"))</f>
        <v/>
      </c>
      <c r="G1461" s="23" t="str">
        <f aca="false">IF(B1461="","",MONTH(B1461))</f>
        <v/>
      </c>
      <c r="H1461" s="23" t="str">
        <f aca="false">IF(B1461="","",YEAR(B1461))</f>
        <v/>
      </c>
    </row>
    <row r="1462" customFormat="false" ht="15" hidden="false" customHeight="false" outlineLevel="0" collapsed="false">
      <c r="B1462" s="21"/>
      <c r="C1462" s="16"/>
      <c r="D1462" s="16"/>
      <c r="E1462" s="17"/>
      <c r="F1462" s="22" t="str">
        <f aca="false">IF(D1462="","",IFERROR(INDEX(Setup!$C$8:$C$37,MATCH(D1462,Setup!$B$8:$B$37,0)),"Check category"))</f>
        <v/>
      </c>
      <c r="G1462" s="23" t="str">
        <f aca="false">IF(B1462="","",MONTH(B1462))</f>
        <v/>
      </c>
      <c r="H1462" s="23" t="str">
        <f aca="false">IF(B1462="","",YEAR(B1462))</f>
        <v/>
      </c>
    </row>
    <row r="1463" customFormat="false" ht="15" hidden="false" customHeight="false" outlineLevel="0" collapsed="false">
      <c r="B1463" s="21"/>
      <c r="C1463" s="16"/>
      <c r="D1463" s="16"/>
      <c r="E1463" s="17"/>
      <c r="F1463" s="22" t="str">
        <f aca="false">IF(D1463="","",IFERROR(INDEX(Setup!$C$8:$C$37,MATCH(D1463,Setup!$B$8:$B$37,0)),"Check category"))</f>
        <v/>
      </c>
      <c r="G1463" s="23" t="str">
        <f aca="false">IF(B1463="","",MONTH(B1463))</f>
        <v/>
      </c>
      <c r="H1463" s="23" t="str">
        <f aca="false">IF(B1463="","",YEAR(B1463))</f>
        <v/>
      </c>
    </row>
    <row r="1464" customFormat="false" ht="15" hidden="false" customHeight="false" outlineLevel="0" collapsed="false">
      <c r="B1464" s="21"/>
      <c r="C1464" s="16"/>
      <c r="D1464" s="16"/>
      <c r="E1464" s="17"/>
      <c r="F1464" s="22" t="str">
        <f aca="false">IF(D1464="","",IFERROR(INDEX(Setup!$C$8:$C$37,MATCH(D1464,Setup!$B$8:$B$37,0)),"Check category"))</f>
        <v/>
      </c>
      <c r="G1464" s="23" t="str">
        <f aca="false">IF(B1464="","",MONTH(B1464))</f>
        <v/>
      </c>
      <c r="H1464" s="23" t="str">
        <f aca="false">IF(B1464="","",YEAR(B1464))</f>
        <v/>
      </c>
    </row>
    <row r="1465" customFormat="false" ht="15" hidden="false" customHeight="false" outlineLevel="0" collapsed="false">
      <c r="B1465" s="21"/>
      <c r="C1465" s="16"/>
      <c r="D1465" s="16"/>
      <c r="E1465" s="17"/>
      <c r="F1465" s="22" t="str">
        <f aca="false">IF(D1465="","",IFERROR(INDEX(Setup!$C$8:$C$37,MATCH(D1465,Setup!$B$8:$B$37,0)),"Check category"))</f>
        <v/>
      </c>
      <c r="G1465" s="23" t="str">
        <f aca="false">IF(B1465="","",MONTH(B1465))</f>
        <v/>
      </c>
      <c r="H1465" s="23" t="str">
        <f aca="false">IF(B1465="","",YEAR(B1465))</f>
        <v/>
      </c>
    </row>
    <row r="1466" customFormat="false" ht="15" hidden="false" customHeight="false" outlineLevel="0" collapsed="false">
      <c r="B1466" s="21"/>
      <c r="C1466" s="16"/>
      <c r="D1466" s="16"/>
      <c r="E1466" s="17"/>
      <c r="F1466" s="22" t="str">
        <f aca="false">IF(D1466="","",IFERROR(INDEX(Setup!$C$8:$C$37,MATCH(D1466,Setup!$B$8:$B$37,0)),"Check category"))</f>
        <v/>
      </c>
      <c r="G1466" s="23" t="str">
        <f aca="false">IF(B1466="","",MONTH(B1466))</f>
        <v/>
      </c>
      <c r="H1466" s="23" t="str">
        <f aca="false">IF(B1466="","",YEAR(B1466))</f>
        <v/>
      </c>
    </row>
    <row r="1467" customFormat="false" ht="15" hidden="false" customHeight="false" outlineLevel="0" collapsed="false">
      <c r="B1467" s="21"/>
      <c r="C1467" s="16"/>
      <c r="D1467" s="16"/>
      <c r="E1467" s="17"/>
      <c r="F1467" s="22" t="str">
        <f aca="false">IF(D1467="","",IFERROR(INDEX(Setup!$C$8:$C$37,MATCH(D1467,Setup!$B$8:$B$37,0)),"Check category"))</f>
        <v/>
      </c>
      <c r="G1467" s="23" t="str">
        <f aca="false">IF(B1467="","",MONTH(B1467))</f>
        <v/>
      </c>
      <c r="H1467" s="23" t="str">
        <f aca="false">IF(B1467="","",YEAR(B1467))</f>
        <v/>
      </c>
    </row>
    <row r="1468" customFormat="false" ht="15" hidden="false" customHeight="false" outlineLevel="0" collapsed="false">
      <c r="B1468" s="21"/>
      <c r="C1468" s="16"/>
      <c r="D1468" s="16"/>
      <c r="E1468" s="17"/>
      <c r="F1468" s="22" t="str">
        <f aca="false">IF(D1468="","",IFERROR(INDEX(Setup!$C$8:$C$37,MATCH(D1468,Setup!$B$8:$B$37,0)),"Check category"))</f>
        <v/>
      </c>
      <c r="G1468" s="23" t="str">
        <f aca="false">IF(B1468="","",MONTH(B1468))</f>
        <v/>
      </c>
      <c r="H1468" s="23" t="str">
        <f aca="false">IF(B1468="","",YEAR(B1468))</f>
        <v/>
      </c>
    </row>
    <row r="1469" customFormat="false" ht="15" hidden="false" customHeight="false" outlineLevel="0" collapsed="false">
      <c r="B1469" s="21"/>
      <c r="C1469" s="16"/>
      <c r="D1469" s="16"/>
      <c r="E1469" s="17"/>
      <c r="F1469" s="22" t="str">
        <f aca="false">IF(D1469="","",IFERROR(INDEX(Setup!$C$8:$C$37,MATCH(D1469,Setup!$B$8:$B$37,0)),"Check category"))</f>
        <v/>
      </c>
      <c r="G1469" s="23" t="str">
        <f aca="false">IF(B1469="","",MONTH(B1469))</f>
        <v/>
      </c>
      <c r="H1469" s="23" t="str">
        <f aca="false">IF(B1469="","",YEAR(B1469))</f>
        <v/>
      </c>
    </row>
    <row r="1470" customFormat="false" ht="15" hidden="false" customHeight="false" outlineLevel="0" collapsed="false">
      <c r="B1470" s="21"/>
      <c r="C1470" s="16"/>
      <c r="D1470" s="16"/>
      <c r="E1470" s="17"/>
      <c r="F1470" s="22" t="str">
        <f aca="false">IF(D1470="","",IFERROR(INDEX(Setup!$C$8:$C$37,MATCH(D1470,Setup!$B$8:$B$37,0)),"Check category"))</f>
        <v/>
      </c>
      <c r="G1470" s="23" t="str">
        <f aca="false">IF(B1470="","",MONTH(B1470))</f>
        <v/>
      </c>
      <c r="H1470" s="23" t="str">
        <f aca="false">IF(B1470="","",YEAR(B1470))</f>
        <v/>
      </c>
    </row>
    <row r="1471" customFormat="false" ht="15" hidden="false" customHeight="false" outlineLevel="0" collapsed="false">
      <c r="B1471" s="21"/>
      <c r="C1471" s="16"/>
      <c r="D1471" s="16"/>
      <c r="E1471" s="17"/>
      <c r="F1471" s="22" t="str">
        <f aca="false">IF(D1471="","",IFERROR(INDEX(Setup!$C$8:$C$37,MATCH(D1471,Setup!$B$8:$B$37,0)),"Check category"))</f>
        <v/>
      </c>
      <c r="G1471" s="23" t="str">
        <f aca="false">IF(B1471="","",MONTH(B1471))</f>
        <v/>
      </c>
      <c r="H1471" s="23" t="str">
        <f aca="false">IF(B1471="","",YEAR(B1471))</f>
        <v/>
      </c>
    </row>
    <row r="1472" customFormat="false" ht="15" hidden="false" customHeight="false" outlineLevel="0" collapsed="false">
      <c r="B1472" s="21"/>
      <c r="C1472" s="16"/>
      <c r="D1472" s="16"/>
      <c r="E1472" s="17"/>
      <c r="F1472" s="22" t="str">
        <f aca="false">IF(D1472="","",IFERROR(INDEX(Setup!$C$8:$C$37,MATCH(D1472,Setup!$B$8:$B$37,0)),"Check category"))</f>
        <v/>
      </c>
      <c r="G1472" s="23" t="str">
        <f aca="false">IF(B1472="","",MONTH(B1472))</f>
        <v/>
      </c>
      <c r="H1472" s="23" t="str">
        <f aca="false">IF(B1472="","",YEAR(B1472))</f>
        <v/>
      </c>
    </row>
    <row r="1473" customFormat="false" ht="15" hidden="false" customHeight="false" outlineLevel="0" collapsed="false">
      <c r="B1473" s="21"/>
      <c r="C1473" s="16"/>
      <c r="D1473" s="16"/>
      <c r="E1473" s="17"/>
      <c r="F1473" s="22" t="str">
        <f aca="false">IF(D1473="","",IFERROR(INDEX(Setup!$C$8:$C$37,MATCH(D1473,Setup!$B$8:$B$37,0)),"Check category"))</f>
        <v/>
      </c>
      <c r="G1473" s="23" t="str">
        <f aca="false">IF(B1473="","",MONTH(B1473))</f>
        <v/>
      </c>
      <c r="H1473" s="23" t="str">
        <f aca="false">IF(B1473="","",YEAR(B1473))</f>
        <v/>
      </c>
    </row>
    <row r="1474" customFormat="false" ht="15" hidden="false" customHeight="false" outlineLevel="0" collapsed="false">
      <c r="B1474" s="21"/>
      <c r="C1474" s="16"/>
      <c r="D1474" s="16"/>
      <c r="E1474" s="17"/>
      <c r="F1474" s="22" t="str">
        <f aca="false">IF(D1474="","",IFERROR(INDEX(Setup!$C$8:$C$37,MATCH(D1474,Setup!$B$8:$B$37,0)),"Check category"))</f>
        <v/>
      </c>
      <c r="G1474" s="23" t="str">
        <f aca="false">IF(B1474="","",MONTH(B1474))</f>
        <v/>
      </c>
      <c r="H1474" s="23" t="str">
        <f aca="false">IF(B1474="","",YEAR(B1474))</f>
        <v/>
      </c>
    </row>
    <row r="1475" customFormat="false" ht="15" hidden="false" customHeight="false" outlineLevel="0" collapsed="false">
      <c r="B1475" s="21"/>
      <c r="C1475" s="16"/>
      <c r="D1475" s="16"/>
      <c r="E1475" s="17"/>
      <c r="F1475" s="22" t="str">
        <f aca="false">IF(D1475="","",IFERROR(INDEX(Setup!$C$8:$C$37,MATCH(D1475,Setup!$B$8:$B$37,0)),"Check category"))</f>
        <v/>
      </c>
      <c r="G1475" s="23" t="str">
        <f aca="false">IF(B1475="","",MONTH(B1475))</f>
        <v/>
      </c>
      <c r="H1475" s="23" t="str">
        <f aca="false">IF(B1475="","",YEAR(B1475))</f>
        <v/>
      </c>
    </row>
    <row r="1476" customFormat="false" ht="15" hidden="false" customHeight="false" outlineLevel="0" collapsed="false">
      <c r="B1476" s="21"/>
      <c r="C1476" s="16"/>
      <c r="D1476" s="16"/>
      <c r="E1476" s="17"/>
      <c r="F1476" s="22" t="str">
        <f aca="false">IF(D1476="","",IFERROR(INDEX(Setup!$C$8:$C$37,MATCH(D1476,Setup!$B$8:$B$37,0)),"Check category"))</f>
        <v/>
      </c>
      <c r="G1476" s="23" t="str">
        <f aca="false">IF(B1476="","",MONTH(B1476))</f>
        <v/>
      </c>
      <c r="H1476" s="23" t="str">
        <f aca="false">IF(B1476="","",YEAR(B1476))</f>
        <v/>
      </c>
    </row>
    <row r="1477" customFormat="false" ht="15" hidden="false" customHeight="false" outlineLevel="0" collapsed="false">
      <c r="B1477" s="21"/>
      <c r="C1477" s="16"/>
      <c r="D1477" s="16"/>
      <c r="E1477" s="17"/>
      <c r="F1477" s="22" t="str">
        <f aca="false">IF(D1477="","",IFERROR(INDEX(Setup!$C$8:$C$37,MATCH(D1477,Setup!$B$8:$B$37,0)),"Check category"))</f>
        <v/>
      </c>
      <c r="G1477" s="23" t="str">
        <f aca="false">IF(B1477="","",MONTH(B1477))</f>
        <v/>
      </c>
      <c r="H1477" s="23" t="str">
        <f aca="false">IF(B1477="","",YEAR(B1477))</f>
        <v/>
      </c>
    </row>
    <row r="1478" customFormat="false" ht="15" hidden="false" customHeight="false" outlineLevel="0" collapsed="false">
      <c r="B1478" s="21"/>
      <c r="C1478" s="16"/>
      <c r="D1478" s="16"/>
      <c r="E1478" s="17"/>
      <c r="F1478" s="22" t="str">
        <f aca="false">IF(D1478="","",IFERROR(INDEX(Setup!$C$8:$C$37,MATCH(D1478,Setup!$B$8:$B$37,0)),"Check category"))</f>
        <v/>
      </c>
      <c r="G1478" s="23" t="str">
        <f aca="false">IF(B1478="","",MONTH(B1478))</f>
        <v/>
      </c>
      <c r="H1478" s="23" t="str">
        <f aca="false">IF(B1478="","",YEAR(B1478))</f>
        <v/>
      </c>
    </row>
    <row r="1479" customFormat="false" ht="15" hidden="false" customHeight="false" outlineLevel="0" collapsed="false">
      <c r="B1479" s="21"/>
      <c r="C1479" s="16"/>
      <c r="D1479" s="16"/>
      <c r="E1479" s="17"/>
      <c r="F1479" s="22" t="str">
        <f aca="false">IF(D1479="","",IFERROR(INDEX(Setup!$C$8:$C$37,MATCH(D1479,Setup!$B$8:$B$37,0)),"Check category"))</f>
        <v/>
      </c>
      <c r="G1479" s="23" t="str">
        <f aca="false">IF(B1479="","",MONTH(B1479))</f>
        <v/>
      </c>
      <c r="H1479" s="23" t="str">
        <f aca="false">IF(B1479="","",YEAR(B1479))</f>
        <v/>
      </c>
    </row>
    <row r="1480" customFormat="false" ht="15" hidden="false" customHeight="false" outlineLevel="0" collapsed="false">
      <c r="B1480" s="21"/>
      <c r="C1480" s="16"/>
      <c r="D1480" s="16"/>
      <c r="E1480" s="17"/>
      <c r="F1480" s="22" t="str">
        <f aca="false">IF(D1480="","",IFERROR(INDEX(Setup!$C$8:$C$37,MATCH(D1480,Setup!$B$8:$B$37,0)),"Check category"))</f>
        <v/>
      </c>
      <c r="G1480" s="23" t="str">
        <f aca="false">IF(B1480="","",MONTH(B1480))</f>
        <v/>
      </c>
      <c r="H1480" s="23" t="str">
        <f aca="false">IF(B1480="","",YEAR(B1480))</f>
        <v/>
      </c>
    </row>
    <row r="1481" customFormat="false" ht="15" hidden="false" customHeight="false" outlineLevel="0" collapsed="false">
      <c r="B1481" s="21"/>
      <c r="C1481" s="16"/>
      <c r="D1481" s="16"/>
      <c r="E1481" s="17"/>
      <c r="F1481" s="22" t="str">
        <f aca="false">IF(D1481="","",IFERROR(INDEX(Setup!$C$8:$C$37,MATCH(D1481,Setup!$B$8:$B$37,0)),"Check category"))</f>
        <v/>
      </c>
      <c r="G1481" s="23" t="str">
        <f aca="false">IF(B1481="","",MONTH(B1481))</f>
        <v/>
      </c>
      <c r="H1481" s="23" t="str">
        <f aca="false">IF(B1481="","",YEAR(B1481))</f>
        <v/>
      </c>
    </row>
    <row r="1482" customFormat="false" ht="15" hidden="false" customHeight="false" outlineLevel="0" collapsed="false">
      <c r="B1482" s="21"/>
      <c r="C1482" s="16"/>
      <c r="D1482" s="16"/>
      <c r="E1482" s="17"/>
      <c r="F1482" s="22" t="str">
        <f aca="false">IF(D1482="","",IFERROR(INDEX(Setup!$C$8:$C$37,MATCH(D1482,Setup!$B$8:$B$37,0)),"Check category"))</f>
        <v/>
      </c>
      <c r="G1482" s="23" t="str">
        <f aca="false">IF(B1482="","",MONTH(B1482))</f>
        <v/>
      </c>
      <c r="H1482" s="23" t="str">
        <f aca="false">IF(B1482="","",YEAR(B1482))</f>
        <v/>
      </c>
    </row>
    <row r="1483" customFormat="false" ht="15" hidden="false" customHeight="false" outlineLevel="0" collapsed="false">
      <c r="B1483" s="21"/>
      <c r="C1483" s="16"/>
      <c r="D1483" s="16"/>
      <c r="E1483" s="17"/>
      <c r="F1483" s="22" t="str">
        <f aca="false">IF(D1483="","",IFERROR(INDEX(Setup!$C$8:$C$37,MATCH(D1483,Setup!$B$8:$B$37,0)),"Check category"))</f>
        <v/>
      </c>
      <c r="G1483" s="23" t="str">
        <f aca="false">IF(B1483="","",MONTH(B1483))</f>
        <v/>
      </c>
      <c r="H1483" s="23" t="str">
        <f aca="false">IF(B1483="","",YEAR(B1483))</f>
        <v/>
      </c>
    </row>
    <row r="1484" customFormat="false" ht="15" hidden="false" customHeight="false" outlineLevel="0" collapsed="false">
      <c r="B1484" s="21"/>
      <c r="C1484" s="16"/>
      <c r="D1484" s="16"/>
      <c r="E1484" s="17"/>
      <c r="F1484" s="22" t="str">
        <f aca="false">IF(D1484="","",IFERROR(INDEX(Setup!$C$8:$C$37,MATCH(D1484,Setup!$B$8:$B$37,0)),"Check category"))</f>
        <v/>
      </c>
      <c r="G1484" s="23" t="str">
        <f aca="false">IF(B1484="","",MONTH(B1484))</f>
        <v/>
      </c>
      <c r="H1484" s="23" t="str">
        <f aca="false">IF(B1484="","",YEAR(B1484))</f>
        <v/>
      </c>
    </row>
    <row r="1485" customFormat="false" ht="15" hidden="false" customHeight="false" outlineLevel="0" collapsed="false">
      <c r="B1485" s="21"/>
      <c r="C1485" s="16"/>
      <c r="D1485" s="16"/>
      <c r="E1485" s="17"/>
      <c r="F1485" s="22" t="str">
        <f aca="false">IF(D1485="","",IFERROR(INDEX(Setup!$C$8:$C$37,MATCH(D1485,Setup!$B$8:$B$37,0)),"Check category"))</f>
        <v/>
      </c>
      <c r="G1485" s="23" t="str">
        <f aca="false">IF(B1485="","",MONTH(B1485))</f>
        <v/>
      </c>
      <c r="H1485" s="23" t="str">
        <f aca="false">IF(B1485="","",YEAR(B1485))</f>
        <v/>
      </c>
    </row>
    <row r="1486" customFormat="false" ht="15" hidden="false" customHeight="false" outlineLevel="0" collapsed="false">
      <c r="B1486" s="21"/>
      <c r="C1486" s="16"/>
      <c r="D1486" s="16"/>
      <c r="E1486" s="17"/>
      <c r="F1486" s="22" t="str">
        <f aca="false">IF(D1486="","",IFERROR(INDEX(Setup!$C$8:$C$37,MATCH(D1486,Setup!$B$8:$B$37,0)),"Check category"))</f>
        <v/>
      </c>
      <c r="G1486" s="23" t="str">
        <f aca="false">IF(B1486="","",MONTH(B1486))</f>
        <v/>
      </c>
      <c r="H1486" s="23" t="str">
        <f aca="false">IF(B1486="","",YEAR(B1486))</f>
        <v/>
      </c>
    </row>
    <row r="1487" customFormat="false" ht="15" hidden="false" customHeight="false" outlineLevel="0" collapsed="false">
      <c r="B1487" s="21"/>
      <c r="C1487" s="16"/>
      <c r="D1487" s="16"/>
      <c r="E1487" s="17"/>
      <c r="F1487" s="22" t="str">
        <f aca="false">IF(D1487="","",IFERROR(INDEX(Setup!$C$8:$C$37,MATCH(D1487,Setup!$B$8:$B$37,0)),"Check category"))</f>
        <v/>
      </c>
      <c r="G1487" s="23" t="str">
        <f aca="false">IF(B1487="","",MONTH(B1487))</f>
        <v/>
      </c>
      <c r="H1487" s="23" t="str">
        <f aca="false">IF(B1487="","",YEAR(B1487))</f>
        <v/>
      </c>
    </row>
    <row r="1488" customFormat="false" ht="15" hidden="false" customHeight="false" outlineLevel="0" collapsed="false">
      <c r="B1488" s="21"/>
      <c r="C1488" s="16"/>
      <c r="D1488" s="16"/>
      <c r="E1488" s="17"/>
      <c r="F1488" s="22" t="str">
        <f aca="false">IF(D1488="","",IFERROR(INDEX(Setup!$C$8:$C$37,MATCH(D1488,Setup!$B$8:$B$37,0)),"Check category"))</f>
        <v/>
      </c>
      <c r="G1488" s="23" t="str">
        <f aca="false">IF(B1488="","",MONTH(B1488))</f>
        <v/>
      </c>
      <c r="H1488" s="23" t="str">
        <f aca="false">IF(B1488="","",YEAR(B1488))</f>
        <v/>
      </c>
    </row>
    <row r="1489" customFormat="false" ht="15" hidden="false" customHeight="false" outlineLevel="0" collapsed="false">
      <c r="B1489" s="21"/>
      <c r="C1489" s="16"/>
      <c r="D1489" s="16"/>
      <c r="E1489" s="17"/>
      <c r="F1489" s="22" t="str">
        <f aca="false">IF(D1489="","",IFERROR(INDEX(Setup!$C$8:$C$37,MATCH(D1489,Setup!$B$8:$B$37,0)),"Check category"))</f>
        <v/>
      </c>
      <c r="G1489" s="23" t="str">
        <f aca="false">IF(B1489="","",MONTH(B1489))</f>
        <v/>
      </c>
      <c r="H1489" s="23" t="str">
        <f aca="false">IF(B1489="","",YEAR(B1489))</f>
        <v/>
      </c>
    </row>
    <row r="1490" customFormat="false" ht="15" hidden="false" customHeight="false" outlineLevel="0" collapsed="false">
      <c r="B1490" s="21"/>
      <c r="C1490" s="16"/>
      <c r="D1490" s="16"/>
      <c r="E1490" s="17"/>
      <c r="F1490" s="22" t="str">
        <f aca="false">IF(D1490="","",IFERROR(INDEX(Setup!$C$8:$C$37,MATCH(D1490,Setup!$B$8:$B$37,0)),"Check category"))</f>
        <v/>
      </c>
      <c r="G1490" s="23" t="str">
        <f aca="false">IF(B1490="","",MONTH(B1490))</f>
        <v/>
      </c>
      <c r="H1490" s="23" t="str">
        <f aca="false">IF(B1490="","",YEAR(B1490))</f>
        <v/>
      </c>
    </row>
    <row r="1491" customFormat="false" ht="15" hidden="false" customHeight="false" outlineLevel="0" collapsed="false">
      <c r="B1491" s="21"/>
      <c r="C1491" s="16"/>
      <c r="D1491" s="16"/>
      <c r="E1491" s="17"/>
      <c r="F1491" s="22" t="str">
        <f aca="false">IF(D1491="","",IFERROR(INDEX(Setup!$C$8:$C$37,MATCH(D1491,Setup!$B$8:$B$37,0)),"Check category"))</f>
        <v/>
      </c>
      <c r="G1491" s="23" t="str">
        <f aca="false">IF(B1491="","",MONTH(B1491))</f>
        <v/>
      </c>
      <c r="H1491" s="23" t="str">
        <f aca="false">IF(B1491="","",YEAR(B1491))</f>
        <v/>
      </c>
    </row>
    <row r="1492" customFormat="false" ht="15" hidden="false" customHeight="false" outlineLevel="0" collapsed="false">
      <c r="B1492" s="21"/>
      <c r="C1492" s="16"/>
      <c r="D1492" s="16"/>
      <c r="E1492" s="17"/>
      <c r="F1492" s="22" t="str">
        <f aca="false">IF(D1492="","",IFERROR(INDEX(Setup!$C$8:$C$37,MATCH(D1492,Setup!$B$8:$B$37,0)),"Check category"))</f>
        <v/>
      </c>
      <c r="G1492" s="23" t="str">
        <f aca="false">IF(B1492="","",MONTH(B1492))</f>
        <v/>
      </c>
      <c r="H1492" s="23" t="str">
        <f aca="false">IF(B1492="","",YEAR(B1492))</f>
        <v/>
      </c>
    </row>
    <row r="1493" customFormat="false" ht="15" hidden="false" customHeight="false" outlineLevel="0" collapsed="false">
      <c r="B1493" s="21"/>
      <c r="C1493" s="16"/>
      <c r="D1493" s="16"/>
      <c r="E1493" s="17"/>
      <c r="F1493" s="22" t="str">
        <f aca="false">IF(D1493="","",IFERROR(INDEX(Setup!$C$8:$C$37,MATCH(D1493,Setup!$B$8:$B$37,0)),"Check category"))</f>
        <v/>
      </c>
      <c r="G1493" s="23" t="str">
        <f aca="false">IF(B1493="","",MONTH(B1493))</f>
        <v/>
      </c>
      <c r="H1493" s="23" t="str">
        <f aca="false">IF(B1493="","",YEAR(B1493))</f>
        <v/>
      </c>
    </row>
    <row r="1494" customFormat="false" ht="15" hidden="false" customHeight="false" outlineLevel="0" collapsed="false">
      <c r="B1494" s="21"/>
      <c r="C1494" s="16"/>
      <c r="D1494" s="16"/>
      <c r="E1494" s="17"/>
      <c r="F1494" s="22" t="str">
        <f aca="false">IF(D1494="","",IFERROR(INDEX(Setup!$C$8:$C$37,MATCH(D1494,Setup!$B$8:$B$37,0)),"Check category"))</f>
        <v/>
      </c>
      <c r="G1494" s="23" t="str">
        <f aca="false">IF(B1494="","",MONTH(B1494))</f>
        <v/>
      </c>
      <c r="H1494" s="23" t="str">
        <f aca="false">IF(B1494="","",YEAR(B1494))</f>
        <v/>
      </c>
    </row>
    <row r="1495" customFormat="false" ht="15" hidden="false" customHeight="false" outlineLevel="0" collapsed="false">
      <c r="B1495" s="21"/>
      <c r="C1495" s="16"/>
      <c r="D1495" s="16"/>
      <c r="E1495" s="17"/>
      <c r="F1495" s="22" t="str">
        <f aca="false">IF(D1495="","",IFERROR(INDEX(Setup!$C$8:$C$37,MATCH(D1495,Setup!$B$8:$B$37,0)),"Check category"))</f>
        <v/>
      </c>
      <c r="G1495" s="23" t="str">
        <f aca="false">IF(B1495="","",MONTH(B1495))</f>
        <v/>
      </c>
      <c r="H1495" s="23" t="str">
        <f aca="false">IF(B1495="","",YEAR(B1495))</f>
        <v/>
      </c>
    </row>
    <row r="1496" customFormat="false" ht="15" hidden="false" customHeight="false" outlineLevel="0" collapsed="false">
      <c r="B1496" s="21"/>
      <c r="C1496" s="16"/>
      <c r="D1496" s="16"/>
      <c r="E1496" s="17"/>
      <c r="F1496" s="22" t="str">
        <f aca="false">IF(D1496="","",IFERROR(INDEX(Setup!$C$8:$C$37,MATCH(D1496,Setup!$B$8:$B$37,0)),"Check category"))</f>
        <v/>
      </c>
      <c r="G1496" s="23" t="str">
        <f aca="false">IF(B1496="","",MONTH(B1496))</f>
        <v/>
      </c>
      <c r="H1496" s="23" t="str">
        <f aca="false">IF(B1496="","",YEAR(B1496))</f>
        <v/>
      </c>
    </row>
    <row r="1497" customFormat="false" ht="15" hidden="false" customHeight="false" outlineLevel="0" collapsed="false">
      <c r="B1497" s="21"/>
      <c r="C1497" s="16"/>
      <c r="D1497" s="16"/>
      <c r="E1497" s="17"/>
      <c r="F1497" s="22" t="str">
        <f aca="false">IF(D1497="","",IFERROR(INDEX(Setup!$C$8:$C$37,MATCH(D1497,Setup!$B$8:$B$37,0)),"Check category"))</f>
        <v/>
      </c>
      <c r="G1497" s="23" t="str">
        <f aca="false">IF(B1497="","",MONTH(B1497))</f>
        <v/>
      </c>
      <c r="H1497" s="23" t="str">
        <f aca="false">IF(B1497="","",YEAR(B1497))</f>
        <v/>
      </c>
    </row>
    <row r="1498" customFormat="false" ht="15" hidden="false" customHeight="false" outlineLevel="0" collapsed="false">
      <c r="B1498" s="21"/>
      <c r="C1498" s="16"/>
      <c r="D1498" s="16"/>
      <c r="E1498" s="17"/>
      <c r="F1498" s="22" t="str">
        <f aca="false">IF(D1498="","",IFERROR(INDEX(Setup!$C$8:$C$37,MATCH(D1498,Setup!$B$8:$B$37,0)),"Check category"))</f>
        <v/>
      </c>
      <c r="G1498" s="23" t="str">
        <f aca="false">IF(B1498="","",MONTH(B1498))</f>
        <v/>
      </c>
      <c r="H1498" s="23" t="str">
        <f aca="false">IF(B1498="","",YEAR(B1498))</f>
        <v/>
      </c>
    </row>
    <row r="1499" customFormat="false" ht="15" hidden="false" customHeight="false" outlineLevel="0" collapsed="false">
      <c r="B1499" s="21"/>
      <c r="C1499" s="16"/>
      <c r="D1499" s="16"/>
      <c r="E1499" s="17"/>
      <c r="F1499" s="22" t="str">
        <f aca="false">IF(D1499="","",IFERROR(INDEX(Setup!$C$8:$C$37,MATCH(D1499,Setup!$B$8:$B$37,0)),"Check category"))</f>
        <v/>
      </c>
      <c r="G1499" s="23" t="str">
        <f aca="false">IF(B1499="","",MONTH(B1499))</f>
        <v/>
      </c>
      <c r="H1499" s="23" t="str">
        <f aca="false">IF(B1499="","",YEAR(B1499))</f>
        <v/>
      </c>
    </row>
    <row r="1500" customFormat="false" ht="15" hidden="false" customHeight="false" outlineLevel="0" collapsed="false">
      <c r="B1500" s="21"/>
      <c r="C1500" s="16"/>
      <c r="D1500" s="16"/>
      <c r="E1500" s="17"/>
      <c r="F1500" s="22" t="str">
        <f aca="false">IF(D1500="","",IFERROR(INDEX(Setup!$C$8:$C$37,MATCH(D1500,Setup!$B$8:$B$37,0)),"Check category"))</f>
        <v/>
      </c>
      <c r="G1500" s="23" t="str">
        <f aca="false">IF(B1500="","",MONTH(B1500))</f>
        <v/>
      </c>
      <c r="H1500" s="23" t="str">
        <f aca="false">IF(B1500="","",YEAR(B1500))</f>
        <v/>
      </c>
    </row>
    <row r="1501" customFormat="false" ht="15" hidden="false" customHeight="false" outlineLevel="0" collapsed="false">
      <c r="B1501" s="21"/>
      <c r="C1501" s="16"/>
      <c r="D1501" s="16"/>
      <c r="E1501" s="17"/>
      <c r="F1501" s="22" t="str">
        <f aca="false">IF(D1501="","",IFERROR(INDEX(Setup!$C$8:$C$37,MATCH(D1501,Setup!$B$8:$B$37,0)),"Check category"))</f>
        <v/>
      </c>
      <c r="G1501" s="23" t="str">
        <f aca="false">IF(B1501="","",MONTH(B1501))</f>
        <v/>
      </c>
      <c r="H1501" s="23" t="str">
        <f aca="false">IF(B1501="","",YEAR(B1501))</f>
        <v/>
      </c>
    </row>
    <row r="1502" customFormat="false" ht="15" hidden="false" customHeight="false" outlineLevel="0" collapsed="false">
      <c r="B1502" s="21"/>
      <c r="C1502" s="16"/>
      <c r="D1502" s="16"/>
      <c r="E1502" s="17"/>
      <c r="F1502" s="22" t="str">
        <f aca="false">IF(D1502="","",IFERROR(INDEX(Setup!$C$8:$C$37,MATCH(D1502,Setup!$B$8:$B$37,0)),"Check category"))</f>
        <v/>
      </c>
      <c r="G1502" s="23" t="str">
        <f aca="false">IF(B1502="","",MONTH(B1502))</f>
        <v/>
      </c>
      <c r="H1502" s="23" t="str">
        <f aca="false">IF(B1502="","",YEAR(B1502))</f>
        <v/>
      </c>
    </row>
    <row r="1503" customFormat="false" ht="15" hidden="false" customHeight="false" outlineLevel="0" collapsed="false">
      <c r="B1503" s="21"/>
      <c r="C1503" s="16"/>
      <c r="D1503" s="16"/>
      <c r="E1503" s="17"/>
      <c r="F1503" s="22" t="str">
        <f aca="false">IF(D1503="","",IFERROR(INDEX(Setup!$C$8:$C$37,MATCH(D1503,Setup!$B$8:$B$37,0)),"Check category"))</f>
        <v/>
      </c>
      <c r="G1503" s="23" t="str">
        <f aca="false">IF(B1503="","",MONTH(B1503))</f>
        <v/>
      </c>
      <c r="H1503" s="23" t="str">
        <f aca="false">IF(B1503="","",YEAR(B1503))</f>
        <v/>
      </c>
    </row>
    <row r="1504" customFormat="false" ht="15" hidden="false" customHeight="false" outlineLevel="0" collapsed="false">
      <c r="B1504" s="21"/>
      <c r="C1504" s="16"/>
      <c r="D1504" s="16"/>
      <c r="E1504" s="17"/>
      <c r="F1504" s="22" t="str">
        <f aca="false">IF(D1504="","",IFERROR(INDEX(Setup!$C$8:$C$37,MATCH(D1504,Setup!$B$8:$B$37,0)),"Check category"))</f>
        <v/>
      </c>
      <c r="G1504" s="23" t="str">
        <f aca="false">IF(B1504="","",MONTH(B1504))</f>
        <v/>
      </c>
      <c r="H1504" s="23" t="str">
        <f aca="false">IF(B1504="","",YEAR(B1504))</f>
        <v/>
      </c>
    </row>
  </sheetData>
  <conditionalFormatting sqref="F5:F1504">
    <cfRule type="cellIs" priority="2" operator="equal" aboveAverage="0" equalAverage="0" bottom="0" percent="0" rank="0" text="" dxfId="0">
      <formula>"Check category"</formula>
    </cfRule>
  </conditionalFormatting>
  <dataValidations count="1">
    <dataValidation allowBlank="true" error="Pick a category from the list, or add it on the Setup tab first." errorStyle="stop" errorTitle="Unknown category" operator="between" showDropDown="false" showErrorMessage="true" showInputMessage="false" sqref="D5:D1504" type="list">
      <formula1>Setup!$B$8:$B$37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5B"/>
    <pageSetUpPr fitToPage="true"/>
  </sheetPr>
  <dimension ref="B2:K37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6" min="4" style="0" width="15"/>
    <col collapsed="false" customWidth="true" hidden="false" outlineLevel="0" max="7" min="7" style="0" width="12"/>
    <col collapsed="false" customWidth="true" hidden="false" outlineLevel="0" max="8" min="8" style="0" width="3"/>
    <col collapsed="false" customWidth="true" hidden="false" outlineLevel="0" max="9" min="9" style="0" width="22"/>
    <col collapsed="false" customWidth="true" hidden="false" outlineLevel="0" max="10" min="10" style="0" width="15"/>
    <col collapsed="false" customWidth="true" hidden="false" outlineLevel="0" max="12" min="11" style="0" width="12"/>
  </cols>
  <sheetData>
    <row r="2" customFormat="false" ht="30" hidden="false" customHeight="true" outlineLevel="0" collapsed="false">
      <c r="B2" s="9" t="s">
        <v>87</v>
      </c>
    </row>
    <row r="3" customFormat="false" ht="15" hidden="false" customHeight="false" outlineLevel="0" collapsed="false">
      <c r="B3" s="10" t="s">
        <v>88</v>
      </c>
    </row>
    <row r="5" customFormat="false" ht="15" hidden="false" customHeight="false" outlineLevel="0" collapsed="false">
      <c r="B5" s="11" t="s">
        <v>65</v>
      </c>
      <c r="C5" s="16" t="s">
        <v>89</v>
      </c>
      <c r="D5" s="16"/>
      <c r="E5" s="24" t="n">
        <f aca="false">MATCH(C5,{"January","February","March","April","May","June","July","August","September","October","November","December"},0)</f>
        <v>1</v>
      </c>
      <c r="F5" s="25" t="n">
        <f aca="false">Setup!C5</f>
        <v>2027</v>
      </c>
    </row>
    <row r="7" customFormat="false" ht="19.5" hidden="false" customHeight="true" outlineLevel="0" collapsed="false">
      <c r="B7" s="13" t="s">
        <v>24</v>
      </c>
      <c r="C7" s="14" t="s">
        <v>25</v>
      </c>
      <c r="D7" s="14" t="s">
        <v>90</v>
      </c>
      <c r="E7" s="14" t="s">
        <v>91</v>
      </c>
      <c r="F7" s="14" t="s">
        <v>92</v>
      </c>
      <c r="G7" s="14" t="s">
        <v>93</v>
      </c>
      <c r="I7" s="15" t="s">
        <v>94</v>
      </c>
    </row>
    <row r="8" customFormat="false" ht="15" hidden="false" customHeight="false" outlineLevel="0" collapsed="false">
      <c r="B8" s="26" t="str">
        <f aca="false">IF(Setup!B8="","",Setup!B8)</f>
        <v>Salary</v>
      </c>
      <c r="C8" s="27" t="str">
        <f aca="false">IF(Setup!B8="","",Setup!C8)</f>
        <v>Income</v>
      </c>
      <c r="D8" s="18" t="n">
        <f aca="false">IF(B8="","",Setup!D8)</f>
        <v>4200</v>
      </c>
      <c r="E8" s="18" t="n">
        <f aca="false">IF(B8="","",SUMIFS(Transactions!$E$5:$E$1504,Transactions!$D$5:$D$1504,B8,Transactions!$G$5:$G$1504,$E$5,Transactions!$H$5:$H$1504,$F$5))</f>
        <v>4200</v>
      </c>
      <c r="F8" s="18" t="n">
        <f aca="false">IF(B8="","",IF(C8="Income",E8-D8,D8-E8))</f>
        <v>0</v>
      </c>
      <c r="G8" s="28" t="n">
        <f aca="false">IF(OR(B8="",N(D8)=0),"",E8/D8)</f>
        <v>1</v>
      </c>
      <c r="I8" s="7" t="s">
        <v>95</v>
      </c>
      <c r="J8" s="18" t="n">
        <f aca="false">SUMIFS(Transactions!$E$5:$E$1504,Transactions!$F$5:$F$1504,"Income",Transactions!$G$5:$G$1504,$E$5,Transactions!$H$5:$H$1504,$F$5)</f>
        <v>4550</v>
      </c>
    </row>
    <row r="9" customFormat="false" ht="15" hidden="false" customHeight="false" outlineLevel="0" collapsed="false">
      <c r="B9" s="26" t="str">
        <f aca="false">IF(Setup!B9="","",Setup!B9)</f>
        <v>Side income</v>
      </c>
      <c r="C9" s="27" t="str">
        <f aca="false">IF(Setup!B9="","",Setup!C9)</f>
        <v>Income</v>
      </c>
      <c r="D9" s="18" t="n">
        <f aca="false">IF(B9="","",Setup!D9)</f>
        <v>400</v>
      </c>
      <c r="E9" s="18" t="n">
        <f aca="false">IF(B9="","",SUMIFS(Transactions!$E$5:$E$1504,Transactions!$D$5:$D$1504,B9,Transactions!$G$5:$G$1504,$E$5,Transactions!$H$5:$H$1504,$F$5))</f>
        <v>350</v>
      </c>
      <c r="F9" s="18" t="n">
        <f aca="false">IF(B9="","",IF(C9="Income",E9-D9,D9-E9))</f>
        <v>-50</v>
      </c>
      <c r="G9" s="28" t="n">
        <f aca="false">IF(OR(B9="",N(D9)=0),"",E9/D9)</f>
        <v>0.875</v>
      </c>
      <c r="I9" s="7" t="s">
        <v>96</v>
      </c>
      <c r="J9" s="18" t="n">
        <f aca="false">SUMIFS(Transactions!$E$5:$E$1504,Transactions!$F$5:$F$1504,"Needs",Transactions!$G$5:$G$1504,$E$5,Transactions!$H$5:$H$1504,$F$5)+SUMIFS(Transactions!$E$5:$E$1504,Transactions!$F$5:$F$1504,"Wants",Transactions!$G$5:$G$1504,$E$5,Transactions!$H$5:$H$1504,$F$5)</f>
        <v>2761.46</v>
      </c>
    </row>
    <row r="10" customFormat="false" ht="15" hidden="false" customHeight="false" outlineLevel="0" collapsed="false">
      <c r="B10" s="26" t="str">
        <f aca="false">IF(Setup!B10="","",Setup!B10)</f>
        <v>Rent / mortgage</v>
      </c>
      <c r="C10" s="27" t="str">
        <f aca="false">IF(Setup!B10="","",Setup!C10)</f>
        <v>Needs</v>
      </c>
      <c r="D10" s="18" t="n">
        <f aca="false">IF(B10="","",Setup!D10)</f>
        <v>1350</v>
      </c>
      <c r="E10" s="18" t="n">
        <f aca="false">IF(B10="","",SUMIFS(Transactions!$E$5:$E$1504,Transactions!$D$5:$D$1504,B10,Transactions!$G$5:$G$1504,$E$5,Transactions!$H$5:$H$1504,$F$5))</f>
        <v>1350</v>
      </c>
      <c r="F10" s="18" t="n">
        <f aca="false">IF(B10="","",IF(C10="Income",E10-D10,D10-E10))</f>
        <v>0</v>
      </c>
      <c r="G10" s="28" t="n">
        <f aca="false">IF(OR(B10="",N(D10)=0),"",E10/D10)</f>
        <v>1</v>
      </c>
      <c r="I10" s="7" t="s">
        <v>97</v>
      </c>
      <c r="J10" s="18" t="n">
        <f aca="false">SUMIFS(Transactions!$E$5:$E$1504,Transactions!$F$5:$F$1504,"Savings",Transactions!$G$5:$G$1504,$E$5,Transactions!$H$5:$H$1504,$F$5)</f>
        <v>945</v>
      </c>
    </row>
    <row r="11" customFormat="false" ht="15" hidden="false" customHeight="false" outlineLevel="0" collapsed="false">
      <c r="B11" s="26" t="str">
        <f aca="false">IF(Setup!B11="","",Setup!B11)</f>
        <v>Utilities</v>
      </c>
      <c r="C11" s="27" t="str">
        <f aca="false">IF(Setup!B11="","",Setup!C11)</f>
        <v>Needs</v>
      </c>
      <c r="D11" s="18" t="n">
        <f aca="false">IF(B11="","",Setup!D11)</f>
        <v>180</v>
      </c>
      <c r="E11" s="18" t="n">
        <f aca="false">IF(B11="","",SUMIFS(Transactions!$E$5:$E$1504,Transactions!$D$5:$D$1504,B11,Transactions!$G$5:$G$1504,$E$5,Transactions!$H$5:$H$1504,$F$5))</f>
        <v>178.77</v>
      </c>
      <c r="F11" s="18" t="n">
        <f aca="false">IF(B11="","",IF(C11="Income",E11-D11,D11-E11))</f>
        <v>1.22999999999999</v>
      </c>
      <c r="G11" s="28" t="n">
        <f aca="false">IF(OR(B11="",N(D11)=0),"",E11/D11)</f>
        <v>0.993166666666667</v>
      </c>
      <c r="I11" s="7" t="s">
        <v>98</v>
      </c>
      <c r="J11" s="18" t="n">
        <f aca="false">SUMIFS(Transactions!$E$5:$E$1504,Transactions!$F$5:$F$1504,"Debt",Transactions!$G$5:$G$1504,$E$5,Transactions!$H$5:$H$1504,$F$5)</f>
        <v>400</v>
      </c>
    </row>
    <row r="12" customFormat="false" ht="15" hidden="false" customHeight="false" outlineLevel="0" collapsed="false">
      <c r="B12" s="26" t="str">
        <f aca="false">IF(Setup!B12="","",Setup!B12)</f>
        <v>Groceries</v>
      </c>
      <c r="C12" s="27" t="str">
        <f aca="false">IF(Setup!B12="","",Setup!C12)</f>
        <v>Needs</v>
      </c>
      <c r="D12" s="18" t="n">
        <f aca="false">IF(B12="","",Setup!D12)</f>
        <v>450</v>
      </c>
      <c r="E12" s="18" t="n">
        <f aca="false">IF(B12="","",SUMIFS(Transactions!$E$5:$E$1504,Transactions!$D$5:$D$1504,B12,Transactions!$G$5:$G$1504,$E$5,Transactions!$H$5:$H$1504,$F$5))</f>
        <v>427.14</v>
      </c>
      <c r="F12" s="18" t="n">
        <f aca="false">IF(B12="","",IF(C12="Income",E12-D12,D12-E12))</f>
        <v>22.86</v>
      </c>
      <c r="G12" s="28" t="n">
        <f aca="false">IF(OR(B12="",N(D12)=0),"",E12/D12)</f>
        <v>0.9492</v>
      </c>
      <c r="I12" s="11" t="s">
        <v>99</v>
      </c>
      <c r="J12" s="19" t="n">
        <f aca="false">J8-J9-J10-J11</f>
        <v>443.54</v>
      </c>
    </row>
    <row r="13" customFormat="false" ht="15" hidden="false" customHeight="false" outlineLevel="0" collapsed="false">
      <c r="B13" s="26" t="str">
        <f aca="false">IF(Setup!B13="","",Setup!B13)</f>
        <v>Transport</v>
      </c>
      <c r="C13" s="27" t="str">
        <f aca="false">IF(Setup!B13="","",Setup!C13)</f>
        <v>Needs</v>
      </c>
      <c r="D13" s="18" t="n">
        <f aca="false">IF(B13="","",Setup!D13)</f>
        <v>220</v>
      </c>
      <c r="E13" s="18" t="n">
        <f aca="false">IF(B13="","",SUMIFS(Transactions!$E$5:$E$1504,Transactions!$D$5:$D$1504,B13,Transactions!$G$5:$G$1504,$E$5,Transactions!$H$5:$H$1504,$F$5))</f>
        <v>215.74</v>
      </c>
      <c r="F13" s="18" t="n">
        <f aca="false">IF(B13="","",IF(C13="Income",E13-D13,D13-E13))</f>
        <v>4.25999999999999</v>
      </c>
      <c r="G13" s="28" t="n">
        <f aca="false">IF(OR(B13="",N(D13)=0),"",E13/D13)</f>
        <v>0.980636363636364</v>
      </c>
    </row>
    <row r="14" customFormat="false" ht="15" hidden="false" customHeight="false" outlineLevel="0" collapsed="false">
      <c r="B14" s="26" t="str">
        <f aca="false">IF(Setup!B14="","",Setup!B14)</f>
        <v>Insurance</v>
      </c>
      <c r="C14" s="27" t="str">
        <f aca="false">IF(Setup!B14="","",Setup!C14)</f>
        <v>Needs</v>
      </c>
      <c r="D14" s="18" t="n">
        <f aca="false">IF(B14="","",Setup!D14)</f>
        <v>160</v>
      </c>
      <c r="E14" s="18" t="n">
        <f aca="false">IF(B14="","",SUMIFS(Transactions!$E$5:$E$1504,Transactions!$D$5:$D$1504,B14,Transactions!$G$5:$G$1504,$E$5,Transactions!$H$5:$H$1504,$F$5))</f>
        <v>160</v>
      </c>
      <c r="F14" s="18" t="n">
        <f aca="false">IF(B14="","",IF(C14="Income",E14-D14,D14-E14))</f>
        <v>0</v>
      </c>
      <c r="G14" s="28" t="n">
        <f aca="false">IF(OR(B14="",N(D14)=0),"",E14/D14)</f>
        <v>1</v>
      </c>
    </row>
    <row r="15" customFormat="false" ht="15" hidden="false" customHeight="false" outlineLevel="0" collapsed="false">
      <c r="B15" s="26" t="str">
        <f aca="false">IF(Setup!B15="","",Setup!B15)</f>
        <v>Phone &amp; internet</v>
      </c>
      <c r="C15" s="27" t="str">
        <f aca="false">IF(Setup!B15="","",Setup!C15)</f>
        <v>Needs</v>
      </c>
      <c r="D15" s="18" t="n">
        <f aca="false">IF(B15="","",Setup!D15)</f>
        <v>90</v>
      </c>
      <c r="E15" s="18" t="n">
        <f aca="false">IF(B15="","",SUMIFS(Transactions!$E$5:$E$1504,Transactions!$D$5:$D$1504,B15,Transactions!$G$5:$G$1504,$E$5,Transactions!$H$5:$H$1504,$F$5))</f>
        <v>90</v>
      </c>
      <c r="F15" s="18" t="n">
        <f aca="false">IF(B15="","",IF(C15="Income",E15-D15,D15-E15))</f>
        <v>0</v>
      </c>
      <c r="G15" s="28" t="n">
        <f aca="false">IF(OR(B15="",N(D15)=0),"",E15/D15)</f>
        <v>1</v>
      </c>
      <c r="I15" s="15" t="s">
        <v>100</v>
      </c>
    </row>
    <row r="16" customFormat="false" ht="19.5" hidden="false" customHeight="true" outlineLevel="0" collapsed="false">
      <c r="B16" s="26" t="str">
        <f aca="false">IF(Setup!B16="","",Setup!B16)</f>
        <v>Health</v>
      </c>
      <c r="C16" s="27" t="str">
        <f aca="false">IF(Setup!B16="","",Setup!C16)</f>
        <v>Needs</v>
      </c>
      <c r="D16" s="18" t="n">
        <f aca="false">IF(B16="","",Setup!D16)</f>
        <v>60</v>
      </c>
      <c r="E16" s="18" t="n">
        <f aca="false">IF(B16="","",SUMIFS(Transactions!$E$5:$E$1504,Transactions!$D$5:$D$1504,B16,Transactions!$G$5:$G$1504,$E$5,Transactions!$H$5:$H$1504,$F$5))</f>
        <v>0</v>
      </c>
      <c r="F16" s="18" t="n">
        <f aca="false">IF(B16="","",IF(C16="Income",E16-D16,D16-E16))</f>
        <v>60</v>
      </c>
      <c r="G16" s="28" t="n">
        <f aca="false">IF(OR(B16="",N(D16)=0),"",E16/D16)</f>
        <v>0</v>
      </c>
      <c r="I16" s="13" t="s">
        <v>25</v>
      </c>
      <c r="J16" s="14" t="s">
        <v>101</v>
      </c>
      <c r="K16" s="14" t="s">
        <v>102</v>
      </c>
    </row>
    <row r="17" customFormat="false" ht="15" hidden="false" customHeight="false" outlineLevel="0" collapsed="false">
      <c r="B17" s="26" t="str">
        <f aca="false">IF(Setup!B17="","",Setup!B17)</f>
        <v>Eating out</v>
      </c>
      <c r="C17" s="27" t="str">
        <f aca="false">IF(Setup!B17="","",Setup!C17)</f>
        <v>Wants</v>
      </c>
      <c r="D17" s="18" t="n">
        <f aca="false">IF(B17="","",Setup!D17)</f>
        <v>200</v>
      </c>
      <c r="E17" s="18" t="n">
        <f aca="false">IF(B17="","",SUMIFS(Transactions!$E$5:$E$1504,Transactions!$D$5:$D$1504,B17,Transactions!$G$5:$G$1504,$E$5,Transactions!$H$5:$H$1504,$F$5))</f>
        <v>80.42</v>
      </c>
      <c r="F17" s="18" t="n">
        <f aca="false">IF(B17="","",IF(C17="Income",E17-D17,D17-E17))</f>
        <v>119.58</v>
      </c>
      <c r="G17" s="28" t="n">
        <f aca="false">IF(OR(B17="",N(D17)=0),"",E17/D17)</f>
        <v>0.4021</v>
      </c>
      <c r="I17" s="7" t="s">
        <v>34</v>
      </c>
      <c r="J17" s="28" t="n">
        <f aca="false">IFERROR((SUMIFS(Transactions!$E$5:$E$1504,Transactions!$F$5:$F$1504,"Needs",Transactions!$G$5:$G$1504,$E$5,Transactions!$H$5:$H$1504,$F$5))/$J$8,0)</f>
        <v>0.532230769230769</v>
      </c>
      <c r="K17" s="28" t="n">
        <v>0.5</v>
      </c>
    </row>
    <row r="18" customFormat="false" ht="15" hidden="false" customHeight="false" outlineLevel="0" collapsed="false">
      <c r="B18" s="26" t="str">
        <f aca="false">IF(Setup!B18="","",Setup!B18)</f>
        <v>Shopping</v>
      </c>
      <c r="C18" s="27" t="str">
        <f aca="false">IF(Setup!B18="","",Setup!C18)</f>
        <v>Wants</v>
      </c>
      <c r="D18" s="18" t="n">
        <f aca="false">IF(B18="","",Setup!D18)</f>
        <v>150</v>
      </c>
      <c r="E18" s="18" t="n">
        <f aca="false">IF(B18="","",SUMIFS(Transactions!$E$5:$E$1504,Transactions!$D$5:$D$1504,B18,Transactions!$G$5:$G$1504,$E$5,Transactions!$H$5:$H$1504,$F$5))</f>
        <v>175.98</v>
      </c>
      <c r="F18" s="18" t="n">
        <f aca="false">IF(B18="","",IF(C18="Income",E18-D18,D18-E18))</f>
        <v>-25.98</v>
      </c>
      <c r="G18" s="28" t="n">
        <f aca="false">IF(OR(B18="",N(D18)=0),"",E18/D18)</f>
        <v>1.1732</v>
      </c>
      <c r="I18" s="7" t="s">
        <v>47</v>
      </c>
      <c r="J18" s="28" t="n">
        <f aca="false">IFERROR((SUMIFS(Transactions!$E$5:$E$1504,Transactions!$F$5:$F$1504,"Wants",Transactions!$G$5:$G$1504,$E$5,Transactions!$H$5:$H$1504,$F$5))/$J$8,0)</f>
        <v>0.0746835164835165</v>
      </c>
      <c r="K18" s="28" t="n">
        <v>0.3</v>
      </c>
    </row>
    <row r="19" customFormat="false" ht="15" hidden="false" customHeight="false" outlineLevel="0" collapsed="false">
      <c r="B19" s="26" t="str">
        <f aca="false">IF(Setup!B19="","",Setup!B19)</f>
        <v>Entertainment</v>
      </c>
      <c r="C19" s="27" t="str">
        <f aca="false">IF(Setup!B19="","",Setup!C19)</f>
        <v>Wants</v>
      </c>
      <c r="D19" s="18" t="n">
        <f aca="false">IF(B19="","",Setup!D19)</f>
        <v>80</v>
      </c>
      <c r="E19" s="18" t="n">
        <f aca="false">IF(B19="","",SUMIFS(Transactions!$E$5:$E$1504,Transactions!$D$5:$D$1504,B19,Transactions!$G$5:$G$1504,$E$5,Transactions!$H$5:$H$1504,$F$5))</f>
        <v>38.41</v>
      </c>
      <c r="F19" s="18" t="n">
        <f aca="false">IF(B19="","",IF(C19="Income",E19-D19,D19-E19))</f>
        <v>41.59</v>
      </c>
      <c r="G19" s="28" t="n">
        <f aca="false">IF(OR(B19="",N(D19)=0),"",E19/D19)</f>
        <v>0.480125</v>
      </c>
      <c r="I19" s="7" t="s">
        <v>54</v>
      </c>
      <c r="J19" s="28" t="n">
        <f aca="false">IFERROR((SUMIFS(Transactions!$E$5:$E$1504,Transactions!$F$5:$F$1504,"Savings",Transactions!$G$5:$G$1504,$E$5,Transactions!$H$5:$H$1504,$F$5)+SUMIFS(Transactions!$E$5:$E$1504,Transactions!$F$5:$F$1504,"Debt",Transactions!$G$5:$G$1504,$E$5,Transactions!$H$5:$H$1504,$F$5))/$J$8,0)</f>
        <v>0.295604395604396</v>
      </c>
      <c r="K19" s="28" t="n">
        <v>0.2</v>
      </c>
    </row>
    <row r="20" customFormat="false" ht="15" hidden="false" customHeight="false" outlineLevel="0" collapsed="false">
      <c r="B20" s="26" t="str">
        <f aca="false">IF(Setup!B20="","",Setup!B20)</f>
        <v>Subscriptions</v>
      </c>
      <c r="C20" s="27" t="str">
        <f aca="false">IF(Setup!B20="","",Setup!C20)</f>
        <v>Wants</v>
      </c>
      <c r="D20" s="18" t="n">
        <f aca="false">IF(B20="","",Setup!D20)</f>
        <v>45</v>
      </c>
      <c r="E20" s="18" t="n">
        <f aca="false">IF(B20="","",SUMIFS(Transactions!$E$5:$E$1504,Transactions!$D$5:$D$1504,B20,Transactions!$G$5:$G$1504,$E$5,Transactions!$H$5:$H$1504,$F$5))</f>
        <v>45</v>
      </c>
      <c r="F20" s="18" t="n">
        <f aca="false">IF(B20="","",IF(C20="Income",E20-D20,D20-E20))</f>
        <v>0</v>
      </c>
      <c r="G20" s="28" t="n">
        <f aca="false">IF(OR(B20="",N(D20)=0),"",E20/D20)</f>
        <v>1</v>
      </c>
      <c r="I20" s="29" t="s">
        <v>103</v>
      </c>
    </row>
    <row r="21" customFormat="false" ht="15" hidden="false" customHeight="false" outlineLevel="0" collapsed="false">
      <c r="B21" s="26" t="str">
        <f aca="false">IF(Setup!B21="","",Setup!B21)</f>
        <v>Travel</v>
      </c>
      <c r="C21" s="27" t="str">
        <f aca="false">IF(Setup!B21="","",Setup!C21)</f>
        <v>Wants</v>
      </c>
      <c r="D21" s="18" t="n">
        <f aca="false">IF(B21="","",Setup!D21)</f>
        <v>120</v>
      </c>
      <c r="E21" s="18" t="n">
        <f aca="false">IF(B21="","",SUMIFS(Transactions!$E$5:$E$1504,Transactions!$D$5:$D$1504,B21,Transactions!$G$5:$G$1504,$E$5,Transactions!$H$5:$H$1504,$F$5))</f>
        <v>0</v>
      </c>
      <c r="F21" s="18" t="n">
        <f aca="false">IF(B21="","",IF(C21="Income",E21-D21,D21-E21))</f>
        <v>120</v>
      </c>
      <c r="G21" s="28" t="n">
        <f aca="false">IF(OR(B21="",N(D21)=0),"",E21/D21)</f>
        <v>0</v>
      </c>
    </row>
    <row r="22" customFormat="false" ht="15" hidden="false" customHeight="false" outlineLevel="0" collapsed="false">
      <c r="B22" s="26" t="str">
        <f aca="false">IF(Setup!B22="","",Setup!B22)</f>
        <v>Gifts</v>
      </c>
      <c r="C22" s="27" t="str">
        <f aca="false">IF(Setup!B22="","",Setup!C22)</f>
        <v>Wants</v>
      </c>
      <c r="D22" s="18" t="n">
        <f aca="false">IF(B22="","",Setup!D22)</f>
        <v>50</v>
      </c>
      <c r="E22" s="18" t="n">
        <f aca="false">IF(B22="","",SUMIFS(Transactions!$E$5:$E$1504,Transactions!$D$5:$D$1504,B22,Transactions!$G$5:$G$1504,$E$5,Transactions!$H$5:$H$1504,$F$5))</f>
        <v>0</v>
      </c>
      <c r="F22" s="18" t="n">
        <f aca="false">IF(B22="","",IF(C22="Income",E22-D22,D22-E22))</f>
        <v>50</v>
      </c>
      <c r="G22" s="28" t="n">
        <f aca="false">IF(OR(B22="",N(D22)=0),"",E22/D22)</f>
        <v>0</v>
      </c>
    </row>
    <row r="23" customFormat="false" ht="15" hidden="false" customHeight="false" outlineLevel="0" collapsed="false">
      <c r="B23" s="26" t="str">
        <f aca="false">IF(Setup!B23="","",Setup!B23)</f>
        <v>Emergency fund</v>
      </c>
      <c r="C23" s="27" t="str">
        <f aca="false">IF(Setup!B23="","",Setup!C23)</f>
        <v>Savings</v>
      </c>
      <c r="D23" s="18" t="n">
        <f aca="false">IF(B23="","",Setup!D23)</f>
        <v>500</v>
      </c>
      <c r="E23" s="18" t="n">
        <f aca="false">IF(B23="","",SUMIFS(Transactions!$E$5:$E$1504,Transactions!$D$5:$D$1504,B23,Transactions!$G$5:$G$1504,$E$5,Transactions!$H$5:$H$1504,$F$5))</f>
        <v>500</v>
      </c>
      <c r="F23" s="18" t="n">
        <f aca="false">IF(B23="","",IF(C23="Income",E23-D23,D23-E23))</f>
        <v>0</v>
      </c>
      <c r="G23" s="28" t="n">
        <f aca="false">IF(OR(B23="",N(D23)=0),"",E23/D23)</f>
        <v>1</v>
      </c>
    </row>
    <row r="24" customFormat="false" ht="15" hidden="false" customHeight="false" outlineLevel="0" collapsed="false">
      <c r="B24" s="26" t="str">
        <f aca="false">IF(Setup!B24="","",Setup!B24)</f>
        <v>Investing</v>
      </c>
      <c r="C24" s="27" t="str">
        <f aca="false">IF(Setup!B24="","",Setup!C24)</f>
        <v>Savings</v>
      </c>
      <c r="D24" s="18" t="n">
        <f aca="false">IF(B24="","",Setup!D24)</f>
        <v>445</v>
      </c>
      <c r="E24" s="18" t="n">
        <f aca="false">IF(B24="","",SUMIFS(Transactions!$E$5:$E$1504,Transactions!$D$5:$D$1504,B24,Transactions!$G$5:$G$1504,$E$5,Transactions!$H$5:$H$1504,$F$5))</f>
        <v>445</v>
      </c>
      <c r="F24" s="18" t="n">
        <f aca="false">IF(B24="","",IF(C24="Income",E24-D24,D24-E24))</f>
        <v>0</v>
      </c>
      <c r="G24" s="28" t="n">
        <f aca="false">IF(OR(B24="",N(D24)=0),"",E24/D24)</f>
        <v>1</v>
      </c>
    </row>
    <row r="25" customFormat="false" ht="15" hidden="false" customHeight="false" outlineLevel="0" collapsed="false">
      <c r="B25" s="26" t="str">
        <f aca="false">IF(Setup!B25="","",Setup!B25)</f>
        <v>Holiday fund</v>
      </c>
      <c r="C25" s="27" t="str">
        <f aca="false">IF(Setup!B25="","",Setup!C25)</f>
        <v>Savings</v>
      </c>
      <c r="D25" s="18" t="n">
        <f aca="false">IF(B25="","",Setup!D25)</f>
        <v>100</v>
      </c>
      <c r="E25" s="18" t="n">
        <f aca="false">IF(B25="","",SUMIFS(Transactions!$E$5:$E$1504,Transactions!$D$5:$D$1504,B25,Transactions!$G$5:$G$1504,$E$5,Transactions!$H$5:$H$1504,$F$5))</f>
        <v>0</v>
      </c>
      <c r="F25" s="18" t="n">
        <f aca="false">IF(B25="","",IF(C25="Income",E25-D25,D25-E25))</f>
        <v>100</v>
      </c>
      <c r="G25" s="28" t="n">
        <f aca="false">IF(OR(B25="",N(D25)=0),"",E25/D25)</f>
        <v>0</v>
      </c>
    </row>
    <row r="26" customFormat="false" ht="15" hidden="false" customHeight="false" outlineLevel="0" collapsed="false">
      <c r="B26" s="26" t="str">
        <f aca="false">IF(Setup!B26="","",Setup!B26)</f>
        <v>Credit card</v>
      </c>
      <c r="C26" s="27" t="str">
        <f aca="false">IF(Setup!B26="","",Setup!C26)</f>
        <v>Debt</v>
      </c>
      <c r="D26" s="18" t="n">
        <f aca="false">IF(B26="","",Setup!D26)</f>
        <v>250</v>
      </c>
      <c r="E26" s="18" t="n">
        <f aca="false">IF(B26="","",SUMIFS(Transactions!$E$5:$E$1504,Transactions!$D$5:$D$1504,B26,Transactions!$G$5:$G$1504,$E$5,Transactions!$H$5:$H$1504,$F$5))</f>
        <v>250</v>
      </c>
      <c r="F26" s="18" t="n">
        <f aca="false">IF(B26="","",IF(C26="Income",E26-D26,D26-E26))</f>
        <v>0</v>
      </c>
      <c r="G26" s="28" t="n">
        <f aca="false">IF(OR(B26="",N(D26)=0),"",E26/D26)</f>
        <v>1</v>
      </c>
    </row>
    <row r="27" customFormat="false" ht="15" hidden="false" customHeight="false" outlineLevel="0" collapsed="false">
      <c r="B27" s="26" t="str">
        <f aca="false">IF(Setup!B27="","",Setup!B27)</f>
        <v>Student loan</v>
      </c>
      <c r="C27" s="27" t="str">
        <f aca="false">IF(Setup!B27="","",Setup!C27)</f>
        <v>Debt</v>
      </c>
      <c r="D27" s="18" t="n">
        <f aca="false">IF(B27="","",Setup!D27)</f>
        <v>150</v>
      </c>
      <c r="E27" s="18" t="n">
        <f aca="false">IF(B27="","",SUMIFS(Transactions!$E$5:$E$1504,Transactions!$D$5:$D$1504,B27,Transactions!$G$5:$G$1504,$E$5,Transactions!$H$5:$H$1504,$F$5))</f>
        <v>150</v>
      </c>
      <c r="F27" s="18" t="n">
        <f aca="false">IF(B27="","",IF(C27="Income",E27-D27,D27-E27))</f>
        <v>0</v>
      </c>
      <c r="G27" s="28" t="n">
        <f aca="false">IF(OR(B27="",N(D27)=0),"",E27/D27)</f>
        <v>1</v>
      </c>
    </row>
    <row r="28" customFormat="false" ht="15" hidden="false" customHeight="false" outlineLevel="0" collapsed="false">
      <c r="B28" s="26" t="str">
        <f aca="false">IF(Setup!B28="","",Setup!B28)</f>
        <v/>
      </c>
      <c r="C28" s="27" t="str">
        <f aca="false">IF(Setup!B28="","",Setup!C28)</f>
        <v/>
      </c>
      <c r="D28" s="18" t="str">
        <f aca="false">IF(B28="","",Setup!D28)</f>
        <v/>
      </c>
      <c r="E28" s="18" t="str">
        <f aca="false">IF(B28="","",SUMIFS(Transactions!$E$5:$E$1504,Transactions!$D$5:$D$1504,B28,Transactions!$G$5:$G$1504,$E$5,Transactions!$H$5:$H$1504,$F$5))</f>
        <v/>
      </c>
      <c r="F28" s="18" t="str">
        <f aca="false">IF(B28="","",IF(C28="Income",E28-D28,D28-E28))</f>
        <v/>
      </c>
      <c r="G28" s="28" t="str">
        <f aca="false">IF(OR(B28="",N(D28)=0),"",E28/D28)</f>
        <v/>
      </c>
    </row>
    <row r="29" customFormat="false" ht="15" hidden="false" customHeight="false" outlineLevel="0" collapsed="false">
      <c r="B29" s="26" t="str">
        <f aca="false">IF(Setup!B29="","",Setup!B29)</f>
        <v/>
      </c>
      <c r="C29" s="27" t="str">
        <f aca="false">IF(Setup!B29="","",Setup!C29)</f>
        <v/>
      </c>
      <c r="D29" s="18" t="str">
        <f aca="false">IF(B29="","",Setup!D29)</f>
        <v/>
      </c>
      <c r="E29" s="18" t="str">
        <f aca="false">IF(B29="","",SUMIFS(Transactions!$E$5:$E$1504,Transactions!$D$5:$D$1504,B29,Transactions!$G$5:$G$1504,$E$5,Transactions!$H$5:$H$1504,$F$5))</f>
        <v/>
      </c>
      <c r="F29" s="18" t="str">
        <f aca="false">IF(B29="","",IF(C29="Income",E29-D29,D29-E29))</f>
        <v/>
      </c>
      <c r="G29" s="28" t="str">
        <f aca="false">IF(OR(B29="",N(D29)=0),"",E29/D29)</f>
        <v/>
      </c>
    </row>
    <row r="30" customFormat="false" ht="15" hidden="false" customHeight="false" outlineLevel="0" collapsed="false">
      <c r="B30" s="26" t="str">
        <f aca="false">IF(Setup!B30="","",Setup!B30)</f>
        <v/>
      </c>
      <c r="C30" s="27" t="str">
        <f aca="false">IF(Setup!B30="","",Setup!C30)</f>
        <v/>
      </c>
      <c r="D30" s="18" t="str">
        <f aca="false">IF(B30="","",Setup!D30)</f>
        <v/>
      </c>
      <c r="E30" s="18" t="str">
        <f aca="false">IF(B30="","",SUMIFS(Transactions!$E$5:$E$1504,Transactions!$D$5:$D$1504,B30,Transactions!$G$5:$G$1504,$E$5,Transactions!$H$5:$H$1504,$F$5))</f>
        <v/>
      </c>
      <c r="F30" s="18" t="str">
        <f aca="false">IF(B30="","",IF(C30="Income",E30-D30,D30-E30))</f>
        <v/>
      </c>
      <c r="G30" s="28" t="str">
        <f aca="false">IF(OR(B30="",N(D30)=0),"",E30/D30)</f>
        <v/>
      </c>
    </row>
    <row r="31" customFormat="false" ht="15" hidden="false" customHeight="false" outlineLevel="0" collapsed="false">
      <c r="B31" s="26" t="str">
        <f aca="false">IF(Setup!B31="","",Setup!B31)</f>
        <v/>
      </c>
      <c r="C31" s="27" t="str">
        <f aca="false">IF(Setup!B31="","",Setup!C31)</f>
        <v/>
      </c>
      <c r="D31" s="18" t="str">
        <f aca="false">IF(B31="","",Setup!D31)</f>
        <v/>
      </c>
      <c r="E31" s="18" t="str">
        <f aca="false">IF(B31="","",SUMIFS(Transactions!$E$5:$E$1504,Transactions!$D$5:$D$1504,B31,Transactions!$G$5:$G$1504,$E$5,Transactions!$H$5:$H$1504,$F$5))</f>
        <v/>
      </c>
      <c r="F31" s="18" t="str">
        <f aca="false">IF(B31="","",IF(C31="Income",E31-D31,D31-E31))</f>
        <v/>
      </c>
      <c r="G31" s="28" t="str">
        <f aca="false">IF(OR(B31="",N(D31)=0),"",E31/D31)</f>
        <v/>
      </c>
    </row>
    <row r="32" customFormat="false" ht="15" hidden="false" customHeight="false" outlineLevel="0" collapsed="false">
      <c r="B32" s="26" t="str">
        <f aca="false">IF(Setup!B32="","",Setup!B32)</f>
        <v/>
      </c>
      <c r="C32" s="27" t="str">
        <f aca="false">IF(Setup!B32="","",Setup!C32)</f>
        <v/>
      </c>
      <c r="D32" s="18" t="str">
        <f aca="false">IF(B32="","",Setup!D32)</f>
        <v/>
      </c>
      <c r="E32" s="18" t="str">
        <f aca="false">IF(B32="","",SUMIFS(Transactions!$E$5:$E$1504,Transactions!$D$5:$D$1504,B32,Transactions!$G$5:$G$1504,$E$5,Transactions!$H$5:$H$1504,$F$5))</f>
        <v/>
      </c>
      <c r="F32" s="18" t="str">
        <f aca="false">IF(B32="","",IF(C32="Income",E32-D32,D32-E32))</f>
        <v/>
      </c>
      <c r="G32" s="28" t="str">
        <f aca="false">IF(OR(B32="",N(D32)=0),"",E32/D32)</f>
        <v/>
      </c>
    </row>
    <row r="33" customFormat="false" ht="15" hidden="false" customHeight="false" outlineLevel="0" collapsed="false">
      <c r="B33" s="26" t="str">
        <f aca="false">IF(Setup!B33="","",Setup!B33)</f>
        <v/>
      </c>
      <c r="C33" s="27" t="str">
        <f aca="false">IF(Setup!B33="","",Setup!C33)</f>
        <v/>
      </c>
      <c r="D33" s="18" t="str">
        <f aca="false">IF(B33="","",Setup!D33)</f>
        <v/>
      </c>
      <c r="E33" s="18" t="str">
        <f aca="false">IF(B33="","",SUMIFS(Transactions!$E$5:$E$1504,Transactions!$D$5:$D$1504,B33,Transactions!$G$5:$G$1504,$E$5,Transactions!$H$5:$H$1504,$F$5))</f>
        <v/>
      </c>
      <c r="F33" s="18" t="str">
        <f aca="false">IF(B33="","",IF(C33="Income",E33-D33,D33-E33))</f>
        <v/>
      </c>
      <c r="G33" s="28" t="str">
        <f aca="false">IF(OR(B33="",N(D33)=0),"",E33/D33)</f>
        <v/>
      </c>
    </row>
    <row r="34" customFormat="false" ht="15" hidden="false" customHeight="false" outlineLevel="0" collapsed="false">
      <c r="B34" s="26" t="str">
        <f aca="false">IF(Setup!B34="","",Setup!B34)</f>
        <v/>
      </c>
      <c r="C34" s="27" t="str">
        <f aca="false">IF(Setup!B34="","",Setup!C34)</f>
        <v/>
      </c>
      <c r="D34" s="18" t="str">
        <f aca="false">IF(B34="","",Setup!D34)</f>
        <v/>
      </c>
      <c r="E34" s="18" t="str">
        <f aca="false">IF(B34="","",SUMIFS(Transactions!$E$5:$E$1504,Transactions!$D$5:$D$1504,B34,Transactions!$G$5:$G$1504,$E$5,Transactions!$H$5:$H$1504,$F$5))</f>
        <v/>
      </c>
      <c r="F34" s="18" t="str">
        <f aca="false">IF(B34="","",IF(C34="Income",E34-D34,D34-E34))</f>
        <v/>
      </c>
      <c r="G34" s="28" t="str">
        <f aca="false">IF(OR(B34="",N(D34)=0),"",E34/D34)</f>
        <v/>
      </c>
    </row>
    <row r="35" customFormat="false" ht="15" hidden="false" customHeight="false" outlineLevel="0" collapsed="false">
      <c r="B35" s="26" t="str">
        <f aca="false">IF(Setup!B35="","",Setup!B35)</f>
        <v/>
      </c>
      <c r="C35" s="27" t="str">
        <f aca="false">IF(Setup!B35="","",Setup!C35)</f>
        <v/>
      </c>
      <c r="D35" s="18" t="str">
        <f aca="false">IF(B35="","",Setup!D35)</f>
        <v/>
      </c>
      <c r="E35" s="18" t="str">
        <f aca="false">IF(B35="","",SUMIFS(Transactions!$E$5:$E$1504,Transactions!$D$5:$D$1504,B35,Transactions!$G$5:$G$1504,$E$5,Transactions!$H$5:$H$1504,$F$5))</f>
        <v/>
      </c>
      <c r="F35" s="18" t="str">
        <f aca="false">IF(B35="","",IF(C35="Income",E35-D35,D35-E35))</f>
        <v/>
      </c>
      <c r="G35" s="28" t="str">
        <f aca="false">IF(OR(B35="",N(D35)=0),"",E35/D35)</f>
        <v/>
      </c>
    </row>
    <row r="36" customFormat="false" ht="15" hidden="false" customHeight="false" outlineLevel="0" collapsed="false">
      <c r="B36" s="26" t="str">
        <f aca="false">IF(Setup!B36="","",Setup!B36)</f>
        <v/>
      </c>
      <c r="C36" s="27" t="str">
        <f aca="false">IF(Setup!B36="","",Setup!C36)</f>
        <v/>
      </c>
      <c r="D36" s="18" t="str">
        <f aca="false">IF(B36="","",Setup!D36)</f>
        <v/>
      </c>
      <c r="E36" s="18" t="str">
        <f aca="false">IF(B36="","",SUMIFS(Transactions!$E$5:$E$1504,Transactions!$D$5:$D$1504,B36,Transactions!$G$5:$G$1504,$E$5,Transactions!$H$5:$H$1504,$F$5))</f>
        <v/>
      </c>
      <c r="F36" s="18" t="str">
        <f aca="false">IF(B36="","",IF(C36="Income",E36-D36,D36-E36))</f>
        <v/>
      </c>
      <c r="G36" s="28" t="str">
        <f aca="false">IF(OR(B36="",N(D36)=0),"",E36/D36)</f>
        <v/>
      </c>
    </row>
    <row r="37" customFormat="false" ht="15" hidden="false" customHeight="false" outlineLevel="0" collapsed="false">
      <c r="B37" s="26" t="str">
        <f aca="false">IF(Setup!B37="","",Setup!B37)</f>
        <v/>
      </c>
      <c r="C37" s="27" t="str">
        <f aca="false">IF(Setup!B37="","",Setup!C37)</f>
        <v/>
      </c>
      <c r="D37" s="18" t="str">
        <f aca="false">IF(B37="","",Setup!D37)</f>
        <v/>
      </c>
      <c r="E37" s="18" t="str">
        <f aca="false">IF(B37="","",SUMIFS(Transactions!$E$5:$E$1504,Transactions!$D$5:$D$1504,B37,Transactions!$G$5:$G$1504,$E$5,Transactions!$H$5:$H$1504,$F$5))</f>
        <v/>
      </c>
      <c r="F37" s="18" t="str">
        <f aca="false">IF(B37="","",IF(C37="Income",E37-D37,D37-E37))</f>
        <v/>
      </c>
      <c r="G37" s="28" t="str">
        <f aca="false">IF(OR(B37="",N(D37)=0),"",E37/D37)</f>
        <v/>
      </c>
    </row>
  </sheetData>
  <mergeCells count="1">
    <mergeCell ref="C5:D5"/>
  </mergeCells>
  <conditionalFormatting sqref="G8:G37">
    <cfRule type="dataBar" priority="2">
      <dataBar showValue="1" minLength="10" maxLength="90">
        <cfvo type="num" val="0"/>
        <cfvo type="num" val="1"/>
        <color rgb="FF8CCBA9"/>
      </dataBar>
      <extLst>
        <ext xmlns:x14="http://schemas.microsoft.com/office/spreadsheetml/2009/9/main" uri="{B025F937-C7B1-47D3-B67F-A62EFF666E3E}">
          <x14:id>{5BEC2A1F-8D6A-4584-86D8-E4956B74FEE2}</x14:id>
        </ext>
      </extLst>
    </cfRule>
  </conditionalFormatting>
  <conditionalFormatting sqref="F8:F37">
    <cfRule type="cellIs" priority="3" operator="lessThan" aboveAverage="0" equalAverage="0" bottom="0" percent="0" rank="0" text="" dxfId="0">
      <formula>-0.005</formula>
    </cfRule>
  </conditionalFormatting>
  <conditionalFormatting sqref="J12">
    <cfRule type="cellIs" priority="4" operator="lessThan" aboveAverage="0" equalAverage="0" bottom="0" percent="0" rank="0" text="" dxfId="0">
      <formula>-0.005</formula>
    </cfRule>
  </conditionalFormatting>
  <dataValidations count="1">
    <dataValidation allowBlank="false" errorStyle="stop" operator="between" showDropDown="false" showErrorMessage="false" showInputMessage="false" sqref="C5" type="list">
      <formula1>"January,February,March,April,May,June,July,August,September,October,November,December"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EC2A1F-8D6A-4584-86D8-E4956B74FEE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CCBA9"/>
              <x14:axisColor rgb="FF000000"/>
            </x14:dataBar>
          </x14:cfRule>
          <xm:sqref>G8:G37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D3A"/>
    <pageSetUpPr fitToPage="true"/>
  </sheetPr>
  <dimension ref="B2:I19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9" min="3" style="0" width="13"/>
  </cols>
  <sheetData>
    <row r="2" customFormat="false" ht="30" hidden="false" customHeight="true" outlineLevel="0" collapsed="false">
      <c r="B2" s="9" t="s">
        <v>104</v>
      </c>
    </row>
    <row r="3" customFormat="false" ht="15" hidden="false" customHeight="false" outlineLevel="0" collapsed="false">
      <c r="B3" s="10" t="s">
        <v>105</v>
      </c>
    </row>
    <row r="4" customFormat="false" ht="15" hidden="false" customHeight="false" outlineLevel="0" collapsed="false">
      <c r="B4" s="30" t="str">
        <f aca="false">"Year "&amp;Setup!C5</f>
        <v>Year 2027</v>
      </c>
    </row>
    <row r="6" customFormat="false" ht="19.5" hidden="false" customHeight="true" outlineLevel="0" collapsed="false">
      <c r="B6" s="13" t="s">
        <v>65</v>
      </c>
      <c r="C6" s="14" t="s">
        <v>29</v>
      </c>
      <c r="D6" s="14" t="s">
        <v>34</v>
      </c>
      <c r="E6" s="14" t="s">
        <v>47</v>
      </c>
      <c r="F6" s="14" t="s">
        <v>54</v>
      </c>
      <c r="G6" s="14" t="s">
        <v>58</v>
      </c>
      <c r="H6" s="14" t="s">
        <v>99</v>
      </c>
      <c r="I6" s="14" t="s">
        <v>106</v>
      </c>
    </row>
    <row r="7" customFormat="false" ht="15" hidden="false" customHeight="false" outlineLevel="0" collapsed="false">
      <c r="B7" s="11" t="s">
        <v>107</v>
      </c>
      <c r="C7" s="18" t="n">
        <f aca="false">SUMIFS(Transactions!$E$5:$E$1504,Transactions!$F$5:$F$1504,"Income",Transactions!$G$5:$G$1504,1,Transactions!$H$5:$H$1504,Setup!$C$5)</f>
        <v>4550</v>
      </c>
      <c r="D7" s="18" t="n">
        <f aca="false">SUMIFS(Transactions!$E$5:$E$1504,Transactions!$F$5:$F$1504,"Needs",Transactions!$G$5:$G$1504,1,Transactions!$H$5:$H$1504,Setup!$C$5)</f>
        <v>2421.65</v>
      </c>
      <c r="E7" s="18" t="n">
        <f aca="false">SUMIFS(Transactions!$E$5:$E$1504,Transactions!$F$5:$F$1504,"Wants",Transactions!$G$5:$G$1504,1,Transactions!$H$5:$H$1504,Setup!$C$5)</f>
        <v>339.81</v>
      </c>
      <c r="F7" s="18" t="n">
        <f aca="false">SUMIFS(Transactions!$E$5:$E$1504,Transactions!$F$5:$F$1504,"Savings",Transactions!$G$5:$G$1504,1,Transactions!$H$5:$H$1504,Setup!$C$5)</f>
        <v>945</v>
      </c>
      <c r="G7" s="18" t="n">
        <f aca="false">SUMIFS(Transactions!$E$5:$E$1504,Transactions!$F$5:$F$1504,"Debt",Transactions!$G$5:$G$1504,1,Transactions!$H$5:$H$1504,Setup!$C$5)</f>
        <v>400</v>
      </c>
      <c r="H7" s="18" t="n">
        <f aca="false">C7-SUM(D7:G7)</f>
        <v>443.54</v>
      </c>
      <c r="I7" s="28" t="n">
        <f aca="false">IF(C7=0,"",(F7+G7)/C7)</f>
        <v>0.295604395604396</v>
      </c>
    </row>
    <row r="8" customFormat="false" ht="15" hidden="false" customHeight="false" outlineLevel="0" collapsed="false">
      <c r="B8" s="11" t="s">
        <v>108</v>
      </c>
      <c r="C8" s="18" t="n">
        <f aca="false">SUMIFS(Transactions!$E$5:$E$1504,Transactions!$F$5:$F$1504,"Income",Transactions!$G$5:$G$1504,2,Transactions!$H$5:$H$1504,Setup!$C$5)</f>
        <v>4720</v>
      </c>
      <c r="D8" s="18" t="n">
        <f aca="false">SUMIFS(Transactions!$E$5:$E$1504,Transactions!$F$5:$F$1504,"Needs",Transactions!$G$5:$G$1504,2,Transactions!$H$5:$H$1504,Setup!$C$5)</f>
        <v>2427.05</v>
      </c>
      <c r="E8" s="18" t="n">
        <f aca="false">SUMIFS(Transactions!$E$5:$E$1504,Transactions!$F$5:$F$1504,"Wants",Transactions!$G$5:$G$1504,2,Transactions!$H$5:$H$1504,Setup!$C$5)</f>
        <v>321.72</v>
      </c>
      <c r="F8" s="18" t="n">
        <f aca="false">SUMIFS(Transactions!$E$5:$E$1504,Transactions!$F$5:$F$1504,"Savings",Transactions!$G$5:$G$1504,2,Transactions!$H$5:$H$1504,Setup!$C$5)</f>
        <v>945</v>
      </c>
      <c r="G8" s="18" t="n">
        <f aca="false">SUMIFS(Transactions!$E$5:$E$1504,Transactions!$F$5:$F$1504,"Debt",Transactions!$G$5:$G$1504,2,Transactions!$H$5:$H$1504,Setup!$C$5)</f>
        <v>400</v>
      </c>
      <c r="H8" s="18" t="n">
        <f aca="false">C8-SUM(D8:G8)</f>
        <v>626.23</v>
      </c>
      <c r="I8" s="28" t="n">
        <f aca="false">IF(C8=0,"",(F8+G8)/C8)</f>
        <v>0.284957627118644</v>
      </c>
    </row>
    <row r="9" customFormat="false" ht="15" hidden="false" customHeight="false" outlineLevel="0" collapsed="false">
      <c r="B9" s="11" t="s">
        <v>109</v>
      </c>
      <c r="C9" s="18" t="n">
        <f aca="false">SUMIFS(Transactions!$E$5:$E$1504,Transactions!$F$5:$F$1504,"Income",Transactions!$G$5:$G$1504,3,Transactions!$H$5:$H$1504,Setup!$C$5)</f>
        <v>4600</v>
      </c>
      <c r="D9" s="18" t="n">
        <f aca="false">SUMIFS(Transactions!$E$5:$E$1504,Transactions!$F$5:$F$1504,"Needs",Transactions!$G$5:$G$1504,3,Transactions!$H$5:$H$1504,Setup!$C$5)</f>
        <v>2496.16</v>
      </c>
      <c r="E9" s="18" t="n">
        <f aca="false">SUMIFS(Transactions!$E$5:$E$1504,Transactions!$F$5:$F$1504,"Wants",Transactions!$G$5:$G$1504,3,Transactions!$H$5:$H$1504,Setup!$C$5)</f>
        <v>454.69</v>
      </c>
      <c r="F9" s="18" t="n">
        <f aca="false">SUMIFS(Transactions!$E$5:$E$1504,Transactions!$F$5:$F$1504,"Savings",Transactions!$G$5:$G$1504,3,Transactions!$H$5:$H$1504,Setup!$C$5)</f>
        <v>945</v>
      </c>
      <c r="G9" s="18" t="n">
        <f aca="false">SUMIFS(Transactions!$E$5:$E$1504,Transactions!$F$5:$F$1504,"Debt",Transactions!$G$5:$G$1504,3,Transactions!$H$5:$H$1504,Setup!$C$5)</f>
        <v>400</v>
      </c>
      <c r="H9" s="18" t="n">
        <f aca="false">C9-SUM(D9:G9)</f>
        <v>304.15</v>
      </c>
      <c r="I9" s="28" t="n">
        <f aca="false">IF(C9=0,"",(F9+G9)/C9)</f>
        <v>0.292391304347826</v>
      </c>
    </row>
    <row r="10" customFormat="false" ht="15" hidden="false" customHeight="false" outlineLevel="0" collapsed="false">
      <c r="B10" s="11" t="s">
        <v>110</v>
      </c>
      <c r="C10" s="18" t="n">
        <f aca="false">SUMIFS(Transactions!$E$5:$E$1504,Transactions!$F$5:$F$1504,"Income",Transactions!$G$5:$G$1504,4,Transactions!$H$5:$H$1504,Setup!$C$5)</f>
        <v>0</v>
      </c>
      <c r="D10" s="18" t="n">
        <f aca="false">SUMIFS(Transactions!$E$5:$E$1504,Transactions!$F$5:$F$1504,"Needs",Transactions!$G$5:$G$1504,4,Transactions!$H$5:$H$1504,Setup!$C$5)</f>
        <v>0</v>
      </c>
      <c r="E10" s="18" t="n">
        <f aca="false">SUMIFS(Transactions!$E$5:$E$1504,Transactions!$F$5:$F$1504,"Wants",Transactions!$G$5:$G$1504,4,Transactions!$H$5:$H$1504,Setup!$C$5)</f>
        <v>0</v>
      </c>
      <c r="F10" s="18" t="n">
        <f aca="false">SUMIFS(Transactions!$E$5:$E$1504,Transactions!$F$5:$F$1504,"Savings",Transactions!$G$5:$G$1504,4,Transactions!$H$5:$H$1504,Setup!$C$5)</f>
        <v>0</v>
      </c>
      <c r="G10" s="18" t="n">
        <f aca="false">SUMIFS(Transactions!$E$5:$E$1504,Transactions!$F$5:$F$1504,"Debt",Transactions!$G$5:$G$1504,4,Transactions!$H$5:$H$1504,Setup!$C$5)</f>
        <v>0</v>
      </c>
      <c r="H10" s="18" t="n">
        <f aca="false">C10-SUM(D10:G10)</f>
        <v>0</v>
      </c>
      <c r="I10" s="28" t="str">
        <f aca="false">IF(C10=0,"",(F10+G10)/C10)</f>
        <v/>
      </c>
    </row>
    <row r="11" customFormat="false" ht="15" hidden="false" customHeight="false" outlineLevel="0" collapsed="false">
      <c r="B11" s="11" t="s">
        <v>111</v>
      </c>
      <c r="C11" s="18" t="n">
        <f aca="false">SUMIFS(Transactions!$E$5:$E$1504,Transactions!$F$5:$F$1504,"Income",Transactions!$G$5:$G$1504,5,Transactions!$H$5:$H$1504,Setup!$C$5)</f>
        <v>0</v>
      </c>
      <c r="D11" s="18" t="n">
        <f aca="false">SUMIFS(Transactions!$E$5:$E$1504,Transactions!$F$5:$F$1504,"Needs",Transactions!$G$5:$G$1504,5,Transactions!$H$5:$H$1504,Setup!$C$5)</f>
        <v>0</v>
      </c>
      <c r="E11" s="18" t="n">
        <f aca="false">SUMIFS(Transactions!$E$5:$E$1504,Transactions!$F$5:$F$1504,"Wants",Transactions!$G$5:$G$1504,5,Transactions!$H$5:$H$1504,Setup!$C$5)</f>
        <v>0</v>
      </c>
      <c r="F11" s="18" t="n">
        <f aca="false">SUMIFS(Transactions!$E$5:$E$1504,Transactions!$F$5:$F$1504,"Savings",Transactions!$G$5:$G$1504,5,Transactions!$H$5:$H$1504,Setup!$C$5)</f>
        <v>0</v>
      </c>
      <c r="G11" s="18" t="n">
        <f aca="false">SUMIFS(Transactions!$E$5:$E$1504,Transactions!$F$5:$F$1504,"Debt",Transactions!$G$5:$G$1504,5,Transactions!$H$5:$H$1504,Setup!$C$5)</f>
        <v>0</v>
      </c>
      <c r="H11" s="18" t="n">
        <f aca="false">C11-SUM(D11:G11)</f>
        <v>0</v>
      </c>
      <c r="I11" s="28" t="str">
        <f aca="false">IF(C11=0,"",(F11+G11)/C11)</f>
        <v/>
      </c>
    </row>
    <row r="12" customFormat="false" ht="15" hidden="false" customHeight="false" outlineLevel="0" collapsed="false">
      <c r="B12" s="11" t="s">
        <v>112</v>
      </c>
      <c r="C12" s="18" t="n">
        <f aca="false">SUMIFS(Transactions!$E$5:$E$1504,Transactions!$F$5:$F$1504,"Income",Transactions!$G$5:$G$1504,6,Transactions!$H$5:$H$1504,Setup!$C$5)</f>
        <v>0</v>
      </c>
      <c r="D12" s="18" t="n">
        <f aca="false">SUMIFS(Transactions!$E$5:$E$1504,Transactions!$F$5:$F$1504,"Needs",Transactions!$G$5:$G$1504,6,Transactions!$H$5:$H$1504,Setup!$C$5)</f>
        <v>0</v>
      </c>
      <c r="E12" s="18" t="n">
        <f aca="false">SUMIFS(Transactions!$E$5:$E$1504,Transactions!$F$5:$F$1504,"Wants",Transactions!$G$5:$G$1504,6,Transactions!$H$5:$H$1504,Setup!$C$5)</f>
        <v>0</v>
      </c>
      <c r="F12" s="18" t="n">
        <f aca="false">SUMIFS(Transactions!$E$5:$E$1504,Transactions!$F$5:$F$1504,"Savings",Transactions!$G$5:$G$1504,6,Transactions!$H$5:$H$1504,Setup!$C$5)</f>
        <v>0</v>
      </c>
      <c r="G12" s="18" t="n">
        <f aca="false">SUMIFS(Transactions!$E$5:$E$1504,Transactions!$F$5:$F$1504,"Debt",Transactions!$G$5:$G$1504,6,Transactions!$H$5:$H$1504,Setup!$C$5)</f>
        <v>0</v>
      </c>
      <c r="H12" s="18" t="n">
        <f aca="false">C12-SUM(D12:G12)</f>
        <v>0</v>
      </c>
      <c r="I12" s="28" t="str">
        <f aca="false">IF(C12=0,"",(F12+G12)/C12)</f>
        <v/>
      </c>
    </row>
    <row r="13" customFormat="false" ht="15" hidden="false" customHeight="false" outlineLevel="0" collapsed="false">
      <c r="B13" s="11" t="s">
        <v>113</v>
      </c>
      <c r="C13" s="18" t="n">
        <f aca="false">SUMIFS(Transactions!$E$5:$E$1504,Transactions!$F$5:$F$1504,"Income",Transactions!$G$5:$G$1504,7,Transactions!$H$5:$H$1504,Setup!$C$5)</f>
        <v>0</v>
      </c>
      <c r="D13" s="18" t="n">
        <f aca="false">SUMIFS(Transactions!$E$5:$E$1504,Transactions!$F$5:$F$1504,"Needs",Transactions!$G$5:$G$1504,7,Transactions!$H$5:$H$1504,Setup!$C$5)</f>
        <v>0</v>
      </c>
      <c r="E13" s="18" t="n">
        <f aca="false">SUMIFS(Transactions!$E$5:$E$1504,Transactions!$F$5:$F$1504,"Wants",Transactions!$G$5:$G$1504,7,Transactions!$H$5:$H$1504,Setup!$C$5)</f>
        <v>0</v>
      </c>
      <c r="F13" s="18" t="n">
        <f aca="false">SUMIFS(Transactions!$E$5:$E$1504,Transactions!$F$5:$F$1504,"Savings",Transactions!$G$5:$G$1504,7,Transactions!$H$5:$H$1504,Setup!$C$5)</f>
        <v>0</v>
      </c>
      <c r="G13" s="18" t="n">
        <f aca="false">SUMIFS(Transactions!$E$5:$E$1504,Transactions!$F$5:$F$1504,"Debt",Transactions!$G$5:$G$1504,7,Transactions!$H$5:$H$1504,Setup!$C$5)</f>
        <v>0</v>
      </c>
      <c r="H13" s="18" t="n">
        <f aca="false">C13-SUM(D13:G13)</f>
        <v>0</v>
      </c>
      <c r="I13" s="28" t="str">
        <f aca="false">IF(C13=0,"",(F13+G13)/C13)</f>
        <v/>
      </c>
    </row>
    <row r="14" customFormat="false" ht="15" hidden="false" customHeight="false" outlineLevel="0" collapsed="false">
      <c r="B14" s="11" t="s">
        <v>114</v>
      </c>
      <c r="C14" s="18" t="n">
        <f aca="false">SUMIFS(Transactions!$E$5:$E$1504,Transactions!$F$5:$F$1504,"Income",Transactions!$G$5:$G$1504,8,Transactions!$H$5:$H$1504,Setup!$C$5)</f>
        <v>0</v>
      </c>
      <c r="D14" s="18" t="n">
        <f aca="false">SUMIFS(Transactions!$E$5:$E$1504,Transactions!$F$5:$F$1504,"Needs",Transactions!$G$5:$G$1504,8,Transactions!$H$5:$H$1504,Setup!$C$5)</f>
        <v>0</v>
      </c>
      <c r="E14" s="18" t="n">
        <f aca="false">SUMIFS(Transactions!$E$5:$E$1504,Transactions!$F$5:$F$1504,"Wants",Transactions!$G$5:$G$1504,8,Transactions!$H$5:$H$1504,Setup!$C$5)</f>
        <v>0</v>
      </c>
      <c r="F14" s="18" t="n">
        <f aca="false">SUMIFS(Transactions!$E$5:$E$1504,Transactions!$F$5:$F$1504,"Savings",Transactions!$G$5:$G$1504,8,Transactions!$H$5:$H$1504,Setup!$C$5)</f>
        <v>0</v>
      </c>
      <c r="G14" s="18" t="n">
        <f aca="false">SUMIFS(Transactions!$E$5:$E$1504,Transactions!$F$5:$F$1504,"Debt",Transactions!$G$5:$G$1504,8,Transactions!$H$5:$H$1504,Setup!$C$5)</f>
        <v>0</v>
      </c>
      <c r="H14" s="18" t="n">
        <f aca="false">C14-SUM(D14:G14)</f>
        <v>0</v>
      </c>
      <c r="I14" s="28" t="str">
        <f aca="false">IF(C14=0,"",(F14+G14)/C14)</f>
        <v/>
      </c>
    </row>
    <row r="15" customFormat="false" ht="15" hidden="false" customHeight="false" outlineLevel="0" collapsed="false">
      <c r="B15" s="11" t="s">
        <v>115</v>
      </c>
      <c r="C15" s="18" t="n">
        <f aca="false">SUMIFS(Transactions!$E$5:$E$1504,Transactions!$F$5:$F$1504,"Income",Transactions!$G$5:$G$1504,9,Transactions!$H$5:$H$1504,Setup!$C$5)</f>
        <v>0</v>
      </c>
      <c r="D15" s="18" t="n">
        <f aca="false">SUMIFS(Transactions!$E$5:$E$1504,Transactions!$F$5:$F$1504,"Needs",Transactions!$G$5:$G$1504,9,Transactions!$H$5:$H$1504,Setup!$C$5)</f>
        <v>0</v>
      </c>
      <c r="E15" s="18" t="n">
        <f aca="false">SUMIFS(Transactions!$E$5:$E$1504,Transactions!$F$5:$F$1504,"Wants",Transactions!$G$5:$G$1504,9,Transactions!$H$5:$H$1504,Setup!$C$5)</f>
        <v>0</v>
      </c>
      <c r="F15" s="18" t="n">
        <f aca="false">SUMIFS(Transactions!$E$5:$E$1504,Transactions!$F$5:$F$1504,"Savings",Transactions!$G$5:$G$1504,9,Transactions!$H$5:$H$1504,Setup!$C$5)</f>
        <v>0</v>
      </c>
      <c r="G15" s="18" t="n">
        <f aca="false">SUMIFS(Transactions!$E$5:$E$1504,Transactions!$F$5:$F$1504,"Debt",Transactions!$G$5:$G$1504,9,Transactions!$H$5:$H$1504,Setup!$C$5)</f>
        <v>0</v>
      </c>
      <c r="H15" s="18" t="n">
        <f aca="false">C15-SUM(D15:G15)</f>
        <v>0</v>
      </c>
      <c r="I15" s="28" t="str">
        <f aca="false">IF(C15=0,"",(F15+G15)/C15)</f>
        <v/>
      </c>
    </row>
    <row r="16" customFormat="false" ht="15" hidden="false" customHeight="false" outlineLevel="0" collapsed="false">
      <c r="B16" s="11" t="s">
        <v>116</v>
      </c>
      <c r="C16" s="18" t="n">
        <f aca="false">SUMIFS(Transactions!$E$5:$E$1504,Transactions!$F$5:$F$1504,"Income",Transactions!$G$5:$G$1504,10,Transactions!$H$5:$H$1504,Setup!$C$5)</f>
        <v>0</v>
      </c>
      <c r="D16" s="18" t="n">
        <f aca="false">SUMIFS(Transactions!$E$5:$E$1504,Transactions!$F$5:$F$1504,"Needs",Transactions!$G$5:$G$1504,10,Transactions!$H$5:$H$1504,Setup!$C$5)</f>
        <v>0</v>
      </c>
      <c r="E16" s="18" t="n">
        <f aca="false">SUMIFS(Transactions!$E$5:$E$1504,Transactions!$F$5:$F$1504,"Wants",Transactions!$G$5:$G$1504,10,Transactions!$H$5:$H$1504,Setup!$C$5)</f>
        <v>0</v>
      </c>
      <c r="F16" s="18" t="n">
        <f aca="false">SUMIFS(Transactions!$E$5:$E$1504,Transactions!$F$5:$F$1504,"Savings",Transactions!$G$5:$G$1504,10,Transactions!$H$5:$H$1504,Setup!$C$5)</f>
        <v>0</v>
      </c>
      <c r="G16" s="18" t="n">
        <f aca="false">SUMIFS(Transactions!$E$5:$E$1504,Transactions!$F$5:$F$1504,"Debt",Transactions!$G$5:$G$1504,10,Transactions!$H$5:$H$1504,Setup!$C$5)</f>
        <v>0</v>
      </c>
      <c r="H16" s="18" t="n">
        <f aca="false">C16-SUM(D16:G16)</f>
        <v>0</v>
      </c>
      <c r="I16" s="28" t="str">
        <f aca="false">IF(C16=0,"",(F16+G16)/C16)</f>
        <v/>
      </c>
    </row>
    <row r="17" customFormat="false" ht="15" hidden="false" customHeight="false" outlineLevel="0" collapsed="false">
      <c r="B17" s="11" t="s">
        <v>117</v>
      </c>
      <c r="C17" s="18" t="n">
        <f aca="false">SUMIFS(Transactions!$E$5:$E$1504,Transactions!$F$5:$F$1504,"Income",Transactions!$G$5:$G$1504,11,Transactions!$H$5:$H$1504,Setup!$C$5)</f>
        <v>0</v>
      </c>
      <c r="D17" s="18" t="n">
        <f aca="false">SUMIFS(Transactions!$E$5:$E$1504,Transactions!$F$5:$F$1504,"Needs",Transactions!$G$5:$G$1504,11,Transactions!$H$5:$H$1504,Setup!$C$5)</f>
        <v>0</v>
      </c>
      <c r="E17" s="18" t="n">
        <f aca="false">SUMIFS(Transactions!$E$5:$E$1504,Transactions!$F$5:$F$1504,"Wants",Transactions!$G$5:$G$1504,11,Transactions!$H$5:$H$1504,Setup!$C$5)</f>
        <v>0</v>
      </c>
      <c r="F17" s="18" t="n">
        <f aca="false">SUMIFS(Transactions!$E$5:$E$1504,Transactions!$F$5:$F$1504,"Savings",Transactions!$G$5:$G$1504,11,Transactions!$H$5:$H$1504,Setup!$C$5)</f>
        <v>0</v>
      </c>
      <c r="G17" s="18" t="n">
        <f aca="false">SUMIFS(Transactions!$E$5:$E$1504,Transactions!$F$5:$F$1504,"Debt",Transactions!$G$5:$G$1504,11,Transactions!$H$5:$H$1504,Setup!$C$5)</f>
        <v>0</v>
      </c>
      <c r="H17" s="18" t="n">
        <f aca="false">C17-SUM(D17:G17)</f>
        <v>0</v>
      </c>
      <c r="I17" s="28" t="str">
        <f aca="false">IF(C17=0,"",(F17+G17)/C17)</f>
        <v/>
      </c>
    </row>
    <row r="18" customFormat="false" ht="15" hidden="false" customHeight="false" outlineLevel="0" collapsed="false">
      <c r="B18" s="11" t="s">
        <v>118</v>
      </c>
      <c r="C18" s="18" t="n">
        <f aca="false">SUMIFS(Transactions!$E$5:$E$1504,Transactions!$F$5:$F$1504,"Income",Transactions!$G$5:$G$1504,12,Transactions!$H$5:$H$1504,Setup!$C$5)</f>
        <v>0</v>
      </c>
      <c r="D18" s="18" t="n">
        <f aca="false">SUMIFS(Transactions!$E$5:$E$1504,Transactions!$F$5:$F$1504,"Needs",Transactions!$G$5:$G$1504,12,Transactions!$H$5:$H$1504,Setup!$C$5)</f>
        <v>0</v>
      </c>
      <c r="E18" s="18" t="n">
        <f aca="false">SUMIFS(Transactions!$E$5:$E$1504,Transactions!$F$5:$F$1504,"Wants",Transactions!$G$5:$G$1504,12,Transactions!$H$5:$H$1504,Setup!$C$5)</f>
        <v>0</v>
      </c>
      <c r="F18" s="18" t="n">
        <f aca="false">SUMIFS(Transactions!$E$5:$E$1504,Transactions!$F$5:$F$1504,"Savings",Transactions!$G$5:$G$1504,12,Transactions!$H$5:$H$1504,Setup!$C$5)</f>
        <v>0</v>
      </c>
      <c r="G18" s="18" t="n">
        <f aca="false">SUMIFS(Transactions!$E$5:$E$1504,Transactions!$F$5:$F$1504,"Debt",Transactions!$G$5:$G$1504,12,Transactions!$H$5:$H$1504,Setup!$C$5)</f>
        <v>0</v>
      </c>
      <c r="H18" s="18" t="n">
        <f aca="false">C18-SUM(D18:G18)</f>
        <v>0</v>
      </c>
      <c r="I18" s="28" t="str">
        <f aca="false">IF(C18=0,"",(F18+G18)/C18)</f>
        <v/>
      </c>
    </row>
    <row r="19" customFormat="false" ht="15" hidden="false" customHeight="false" outlineLevel="0" collapsed="false">
      <c r="B19" s="31" t="s">
        <v>119</v>
      </c>
      <c r="C19" s="32" t="n">
        <f aca="false">SUM(C7:C18)</f>
        <v>13870</v>
      </c>
      <c r="D19" s="32" t="n">
        <f aca="false">SUM(D7:D18)</f>
        <v>7344.86</v>
      </c>
      <c r="E19" s="32" t="n">
        <f aca="false">SUM(E7:E18)</f>
        <v>1116.22</v>
      </c>
      <c r="F19" s="32" t="n">
        <f aca="false">SUM(F7:F18)</f>
        <v>2835</v>
      </c>
      <c r="G19" s="32" t="n">
        <f aca="false">SUM(G7:G18)</f>
        <v>1200</v>
      </c>
      <c r="H19" s="32" t="n">
        <f aca="false">SUM(H7:H18)</f>
        <v>1373.92</v>
      </c>
      <c r="I19" s="33" t="n">
        <f aca="false">IF(C19=0,"",(F19+G19)/C19)</f>
        <v>0.290915645277578</v>
      </c>
    </row>
  </sheetData>
  <conditionalFormatting sqref="H7:H19">
    <cfRule type="cellIs" priority="2" operator="lessThan" aboveAverage="0" equalAverage="0" bottom="0" percent="0" rank="0" text="" dxfId="0">
      <formula>-0.005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603F"/>
    <pageSetUpPr fitToPage="true"/>
  </sheetPr>
  <dimension ref="B2:Z16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6"/>
    <col collapsed="false" customWidth="true" hidden="false" outlineLevel="0" max="26" min="10" style="0" width="11"/>
  </cols>
  <sheetData>
    <row r="2" customFormat="false" ht="30" hidden="false" customHeight="true" outlineLevel="0" collapsed="false">
      <c r="B2" s="9" t="s">
        <v>120</v>
      </c>
    </row>
    <row r="3" customFormat="false" ht="15" hidden="false" customHeight="false" outlineLevel="0" collapsed="false">
      <c r="B3" s="10" t="s">
        <v>121</v>
      </c>
    </row>
    <row r="5" customFormat="false" ht="19.5" hidden="false" customHeight="true" outlineLevel="0" collapsed="false">
      <c r="B5" s="13" t="s">
        <v>58</v>
      </c>
      <c r="C5" s="14" t="s">
        <v>122</v>
      </c>
      <c r="D5" s="14" t="s">
        <v>123</v>
      </c>
      <c r="E5" s="14" t="s">
        <v>124</v>
      </c>
      <c r="F5" s="14" t="s">
        <v>125</v>
      </c>
      <c r="H5" s="15" t="s">
        <v>126</v>
      </c>
    </row>
    <row r="6" customFormat="false" ht="17.35" hidden="false" customHeight="false" outlineLevel="0" collapsed="false">
      <c r="B6" s="16" t="s">
        <v>57</v>
      </c>
      <c r="C6" s="17" t="n">
        <v>3200</v>
      </c>
      <c r="D6" s="34" t="n">
        <v>0.229</v>
      </c>
      <c r="E6" s="17" t="n">
        <v>95</v>
      </c>
      <c r="F6" s="35" t="str">
        <f aca="false">IF(N(C6)=0,"",IF(COUNTIF(U41:U160,"&gt;0.005")&gt;=120,"10+ years",TEXT(EDATE($C$13,COUNTIF(U41:U160,"&gt;0.005")),"mmm yyyy")))</f>
        <v>Apr 2028</v>
      </c>
      <c r="H6" s="11" t="s">
        <v>127</v>
      </c>
      <c r="I6" s="36" t="str">
        <f aca="false">IF(COUNTIF(Z41:Z160,"&gt;0.005")&gt;=120,"10+ years",COUNTIF(Z41:Z160,"&gt;0.005")+1&amp;" months")</f>
        <v>46 months</v>
      </c>
    </row>
    <row r="7" customFormat="false" ht="15" hidden="false" customHeight="false" outlineLevel="0" collapsed="false">
      <c r="B7" s="16" t="s">
        <v>128</v>
      </c>
      <c r="C7" s="17" t="n">
        <v>8400</v>
      </c>
      <c r="D7" s="34" t="n">
        <v>0.065</v>
      </c>
      <c r="E7" s="17" t="n">
        <v>240</v>
      </c>
      <c r="F7" s="35" t="str">
        <f aca="false">IF(N(C7)=0,"",IF(COUNTIF(V41:V160,"&gt;0.005")&gt;=120,"10+ years",TEXT(EDATE($C$13,COUNTIF(V41:V160,"&gt;0.005")),"mmm yyyy")))</f>
        <v>Mar 2029</v>
      </c>
      <c r="H7" s="11" t="s">
        <v>129</v>
      </c>
      <c r="I7" s="37" t="str">
        <f aca="false">IF(COUNTIF(Z41:Z160,"&gt;0.005")&gt;=120,"Pay more each month",TEXT(EDATE($C$13,COUNTIF(Z41:Z160,"&gt;0.005")),"mmmm yyyy"))</f>
        <v>October 2030</v>
      </c>
    </row>
    <row r="8" customFormat="false" ht="15" hidden="false" customHeight="false" outlineLevel="0" collapsed="false">
      <c r="B8" s="16" t="s">
        <v>59</v>
      </c>
      <c r="C8" s="17" t="n">
        <v>14500</v>
      </c>
      <c r="D8" s="34" t="n">
        <v>0.05</v>
      </c>
      <c r="E8" s="17" t="n">
        <v>160</v>
      </c>
      <c r="F8" s="35" t="str">
        <f aca="false">IF(N(C8)=0,"",IF(COUNTIF(W41:W160,"&gt;0.005")&gt;=120,"10+ years",TEXT(EDATE($C$13,COUNTIF(W41:W160,"&gt;0.005")),"mmm yyyy")))</f>
        <v>Oct 2030</v>
      </c>
      <c r="H8" s="11" t="s">
        <v>130</v>
      </c>
      <c r="I8" s="38" t="n">
        <f aca="false">SUM(C6:C10)</f>
        <v>26100</v>
      </c>
    </row>
    <row r="9" customFormat="false" ht="15" hidden="false" customHeight="false" outlineLevel="0" collapsed="false">
      <c r="B9" s="16"/>
      <c r="C9" s="17"/>
      <c r="D9" s="34"/>
      <c r="E9" s="17"/>
      <c r="F9" s="35" t="str">
        <f aca="false">IF(N(C9)=0,"",IF(COUNTIF(X41:X160,"&gt;0.005")&gt;=120,"10+ years",TEXT(EDATE($C$13,COUNTIF(X41:X160,"&gt;0.005")),"mmm yyyy")))</f>
        <v/>
      </c>
      <c r="H9" s="11" t="s">
        <v>131</v>
      </c>
      <c r="I9" s="38" t="n">
        <f aca="false">SUM(P41:T160)-I8</f>
        <v>3220.64675</v>
      </c>
    </row>
    <row r="10" customFormat="false" ht="15" hidden="false" customHeight="false" outlineLevel="0" collapsed="false">
      <c r="B10" s="16"/>
      <c r="C10" s="17"/>
      <c r="D10" s="34"/>
      <c r="E10" s="17"/>
      <c r="F10" s="35" t="str">
        <f aca="false">IF(N(C10)=0,"",IF(COUNTIF(Y41:Y160,"&gt;0.005")&gt;=120,"10+ years",TEXT(EDATE($C$13,COUNTIF(Y41:Y160,"&gt;0.005")),"mmm yyyy")))</f>
        <v/>
      </c>
    </row>
    <row r="11" customFormat="false" ht="15" hidden="false" customHeight="false" outlineLevel="0" collapsed="false">
      <c r="H11" s="39" t="str">
        <f aca="false">IF(C14&lt;SUM(E6:E10),"Total paid is below your minimum payments. Raise the extra amount.","")</f>
        <v/>
      </c>
    </row>
    <row r="12" customFormat="false" ht="15" hidden="false" customHeight="false" outlineLevel="0" collapsed="false">
      <c r="B12" s="11" t="s">
        <v>132</v>
      </c>
      <c r="C12" s="17" t="n">
        <v>150</v>
      </c>
    </row>
    <row r="13" customFormat="false" ht="15" hidden="false" customHeight="false" outlineLevel="0" collapsed="false">
      <c r="B13" s="11" t="s">
        <v>133</v>
      </c>
      <c r="C13" s="40" t="n">
        <v>46388</v>
      </c>
    </row>
    <row r="14" customFormat="false" ht="15" hidden="false" customHeight="false" outlineLevel="0" collapsed="false">
      <c r="B14" s="11" t="s">
        <v>134</v>
      </c>
      <c r="C14" s="19" t="n">
        <f aca="false">SUM(E6:E10)+C12</f>
        <v>645</v>
      </c>
    </row>
    <row r="39" customFormat="false" ht="15" hidden="false" customHeight="false" outlineLevel="0" collapsed="false">
      <c r="B39" s="15" t="s">
        <v>135</v>
      </c>
    </row>
    <row r="40" customFormat="false" ht="15" hidden="false" customHeight="false" outlineLevel="0" collapsed="false">
      <c r="J40" s="41" t="s">
        <v>65</v>
      </c>
      <c r="K40" s="41" t="s">
        <v>136</v>
      </c>
      <c r="L40" s="41" t="s">
        <v>137</v>
      </c>
      <c r="M40" s="41" t="s">
        <v>138</v>
      </c>
      <c r="N40" s="41" t="s">
        <v>139</v>
      </c>
      <c r="O40" s="41" t="s">
        <v>140</v>
      </c>
      <c r="P40" s="41" t="s">
        <v>141</v>
      </c>
      <c r="Q40" s="41" t="s">
        <v>142</v>
      </c>
      <c r="R40" s="41" t="s">
        <v>143</v>
      </c>
      <c r="S40" s="41" t="s">
        <v>144</v>
      </c>
      <c r="T40" s="41" t="s">
        <v>145</v>
      </c>
      <c r="U40" s="41" t="s">
        <v>146</v>
      </c>
      <c r="V40" s="41" t="s">
        <v>147</v>
      </c>
      <c r="W40" s="41" t="s">
        <v>148</v>
      </c>
      <c r="X40" s="41" t="s">
        <v>149</v>
      </c>
      <c r="Y40" s="41" t="s">
        <v>150</v>
      </c>
      <c r="Z40" s="41" t="s">
        <v>151</v>
      </c>
    </row>
    <row r="41" customFormat="false" ht="15" hidden="false" customHeight="false" outlineLevel="0" collapsed="false">
      <c r="J41" s="42" t="n">
        <f aca="false">EDATE($C$13,0)</f>
        <v>46388</v>
      </c>
      <c r="K41" s="43" t="n">
        <f aca="false">N($C$6)*(1+N($D$6)/12)</f>
        <v>3261.06666666667</v>
      </c>
      <c r="L41" s="43" t="n">
        <f aca="false">N($C$7)*(1+N($D$7)/12)</f>
        <v>8445.5</v>
      </c>
      <c r="M41" s="43" t="n">
        <f aca="false">N($C$8)*(1+N($D$8)/12)</f>
        <v>14560.4166666667</v>
      </c>
      <c r="N41" s="43" t="n">
        <f aca="false">N($C$9)*(1+N($D$9)/12)</f>
        <v>0</v>
      </c>
      <c r="O41" s="43" t="n">
        <f aca="false">N($C$10)*(1+N($D$10)/12)</f>
        <v>0</v>
      </c>
      <c r="P41" s="43" t="n">
        <f aca="false">MAX(0,MIN(K41,$C$14-(0)-(MIN(L41,N($E$7))+MIN(M41,N($E$8))+MIN(N41,N($E$9))+MIN(O41,N($E$10)))))</f>
        <v>245</v>
      </c>
      <c r="Q41" s="43" t="n">
        <f aca="false">MAX(0,MIN(L41,$C$14-(P41)-(MIN(M41,N($E$8))+MIN(N41,N($E$9))+MIN(O41,N($E$10)))))</f>
        <v>240</v>
      </c>
      <c r="R41" s="43" t="n">
        <f aca="false">MAX(0,MIN(M41,$C$14-(P41+Q41)-(MIN(N41,N($E$9))+MIN(O41,N($E$10)))))</f>
        <v>160</v>
      </c>
      <c r="S41" s="43" t="n">
        <f aca="false">MAX(0,MIN(N41,$C$14-(P41+Q41+R41)-(MIN(O41,N($E$10)))))</f>
        <v>0</v>
      </c>
      <c r="T41" s="43" t="n">
        <f aca="false">MAX(0,MIN(O41,$C$14-(P41+Q41+R41+S41)-(0)))</f>
        <v>0</v>
      </c>
      <c r="U41" s="43" t="n">
        <f aca="false">ROUND(K41-P41,2)</f>
        <v>3016.07</v>
      </c>
      <c r="V41" s="43" t="n">
        <f aca="false">ROUND(L41-Q41,2)</f>
        <v>8205.5</v>
      </c>
      <c r="W41" s="43" t="n">
        <f aca="false">ROUND(M41-R41,2)</f>
        <v>14400.42</v>
      </c>
      <c r="X41" s="43" t="n">
        <f aca="false">ROUND(N41-S41,2)</f>
        <v>0</v>
      </c>
      <c r="Y41" s="43" t="n">
        <f aca="false">ROUND(O41-T41,2)</f>
        <v>0</v>
      </c>
      <c r="Z41" s="43" t="n">
        <f aca="false">SUM(U41:Y41)</f>
        <v>25621.99</v>
      </c>
    </row>
    <row r="42" customFormat="false" ht="15" hidden="false" customHeight="false" outlineLevel="0" collapsed="false">
      <c r="J42" s="42" t="n">
        <f aca="false">EDATE($C$13,1)</f>
        <v>46419</v>
      </c>
      <c r="K42" s="43" t="n">
        <f aca="false">U41*(1+N($D$6)/12)</f>
        <v>3073.62666916667</v>
      </c>
      <c r="L42" s="43" t="n">
        <f aca="false">V41*(1+N($D$7)/12)</f>
        <v>8249.94645833333</v>
      </c>
      <c r="M42" s="43" t="n">
        <f aca="false">W41*(1+N($D$8)/12)</f>
        <v>14460.42175</v>
      </c>
      <c r="N42" s="43" t="n">
        <f aca="false">X41*(1+N($D$9)/12)</f>
        <v>0</v>
      </c>
      <c r="O42" s="43" t="n">
        <f aca="false">Y41*(1+N($D$10)/12)</f>
        <v>0</v>
      </c>
      <c r="P42" s="43" t="n">
        <f aca="false">MAX(0,MIN(K42,$C$14-(0)-(MIN(L42,N($E$7))+MIN(M42,N($E$8))+MIN(N42,N($E$9))+MIN(O42,N($E$10)))))</f>
        <v>245</v>
      </c>
      <c r="Q42" s="43" t="n">
        <f aca="false">MAX(0,MIN(L42,$C$14-(P42)-(MIN(M42,N($E$8))+MIN(N42,N($E$9))+MIN(O42,N($E$10)))))</f>
        <v>240</v>
      </c>
      <c r="R42" s="43" t="n">
        <f aca="false">MAX(0,MIN(M42,$C$14-(P42+Q42)-(MIN(N42,N($E$9))+MIN(O42,N($E$10)))))</f>
        <v>160</v>
      </c>
      <c r="S42" s="43" t="n">
        <f aca="false">MAX(0,MIN(N42,$C$14-(P42+Q42+R42)-(MIN(O42,N($E$10)))))</f>
        <v>0</v>
      </c>
      <c r="T42" s="43" t="n">
        <f aca="false">MAX(0,MIN(O42,$C$14-(P42+Q42+R42+S42)-(0)))</f>
        <v>0</v>
      </c>
      <c r="U42" s="43" t="n">
        <f aca="false">ROUND(K42-P42,2)</f>
        <v>2828.63</v>
      </c>
      <c r="V42" s="43" t="n">
        <f aca="false">ROUND(L42-Q42,2)</f>
        <v>8009.95</v>
      </c>
      <c r="W42" s="43" t="n">
        <f aca="false">ROUND(M42-R42,2)</f>
        <v>14300.42</v>
      </c>
      <c r="X42" s="43" t="n">
        <f aca="false">ROUND(N42-S42,2)</f>
        <v>0</v>
      </c>
      <c r="Y42" s="43" t="n">
        <f aca="false">ROUND(O42-T42,2)</f>
        <v>0</v>
      </c>
      <c r="Z42" s="43" t="n">
        <f aca="false">SUM(U42:Y42)</f>
        <v>25139</v>
      </c>
    </row>
    <row r="43" customFormat="false" ht="15" hidden="false" customHeight="false" outlineLevel="0" collapsed="false">
      <c r="J43" s="42" t="n">
        <f aca="false">EDATE($C$13,2)</f>
        <v>46447</v>
      </c>
      <c r="K43" s="43" t="n">
        <f aca="false">U42*(1+N($D$6)/12)</f>
        <v>2882.60968916667</v>
      </c>
      <c r="L43" s="43" t="n">
        <f aca="false">V42*(1+N($D$7)/12)</f>
        <v>8053.33722916667</v>
      </c>
      <c r="M43" s="43" t="n">
        <f aca="false">W42*(1+N($D$8)/12)</f>
        <v>14360.0050833333</v>
      </c>
      <c r="N43" s="43" t="n">
        <f aca="false">X42*(1+N($D$9)/12)</f>
        <v>0</v>
      </c>
      <c r="O43" s="43" t="n">
        <f aca="false">Y42*(1+N($D$10)/12)</f>
        <v>0</v>
      </c>
      <c r="P43" s="43" t="n">
        <f aca="false">MAX(0,MIN(K43,$C$14-(0)-(MIN(L43,N($E$7))+MIN(M43,N($E$8))+MIN(N43,N($E$9))+MIN(O43,N($E$10)))))</f>
        <v>245</v>
      </c>
      <c r="Q43" s="43" t="n">
        <f aca="false">MAX(0,MIN(L43,$C$14-(P43)-(MIN(M43,N($E$8))+MIN(N43,N($E$9))+MIN(O43,N($E$10)))))</f>
        <v>240</v>
      </c>
      <c r="R43" s="43" t="n">
        <f aca="false">MAX(0,MIN(M43,$C$14-(P43+Q43)-(MIN(N43,N($E$9))+MIN(O43,N($E$10)))))</f>
        <v>160</v>
      </c>
      <c r="S43" s="43" t="n">
        <f aca="false">MAX(0,MIN(N43,$C$14-(P43+Q43+R43)-(MIN(O43,N($E$10)))))</f>
        <v>0</v>
      </c>
      <c r="T43" s="43" t="n">
        <f aca="false">MAX(0,MIN(O43,$C$14-(P43+Q43+R43+S43)-(0)))</f>
        <v>0</v>
      </c>
      <c r="U43" s="43" t="n">
        <f aca="false">ROUND(K43-P43,2)</f>
        <v>2637.61</v>
      </c>
      <c r="V43" s="43" t="n">
        <f aca="false">ROUND(L43-Q43,2)</f>
        <v>7813.34</v>
      </c>
      <c r="W43" s="43" t="n">
        <f aca="false">ROUND(M43-R43,2)</f>
        <v>14200.01</v>
      </c>
      <c r="X43" s="43" t="n">
        <f aca="false">ROUND(N43-S43,2)</f>
        <v>0</v>
      </c>
      <c r="Y43" s="43" t="n">
        <f aca="false">ROUND(O43-T43,2)</f>
        <v>0</v>
      </c>
      <c r="Z43" s="43" t="n">
        <f aca="false">SUM(U43:Y43)</f>
        <v>24650.96</v>
      </c>
    </row>
    <row r="44" customFormat="false" ht="15" hidden="false" customHeight="false" outlineLevel="0" collapsed="false">
      <c r="J44" s="42" t="n">
        <f aca="false">EDATE($C$13,3)</f>
        <v>46478</v>
      </c>
      <c r="K44" s="43" t="n">
        <f aca="false">U43*(1+N($D$6)/12)</f>
        <v>2687.94439083333</v>
      </c>
      <c r="L44" s="43" t="n">
        <f aca="false">V43*(1+N($D$7)/12)</f>
        <v>7855.66225833333</v>
      </c>
      <c r="M44" s="43" t="n">
        <f aca="false">W43*(1+N($D$8)/12)</f>
        <v>14259.1767083333</v>
      </c>
      <c r="N44" s="43" t="n">
        <f aca="false">X43*(1+N($D$9)/12)</f>
        <v>0</v>
      </c>
      <c r="O44" s="43" t="n">
        <f aca="false">Y43*(1+N($D$10)/12)</f>
        <v>0</v>
      </c>
      <c r="P44" s="43" t="n">
        <f aca="false">MAX(0,MIN(K44,$C$14-(0)-(MIN(L44,N($E$7))+MIN(M44,N($E$8))+MIN(N44,N($E$9))+MIN(O44,N($E$10)))))</f>
        <v>245</v>
      </c>
      <c r="Q44" s="43" t="n">
        <f aca="false">MAX(0,MIN(L44,$C$14-(P44)-(MIN(M44,N($E$8))+MIN(N44,N($E$9))+MIN(O44,N($E$10)))))</f>
        <v>240</v>
      </c>
      <c r="R44" s="43" t="n">
        <f aca="false">MAX(0,MIN(M44,$C$14-(P44+Q44)-(MIN(N44,N($E$9))+MIN(O44,N($E$10)))))</f>
        <v>160</v>
      </c>
      <c r="S44" s="43" t="n">
        <f aca="false">MAX(0,MIN(N44,$C$14-(P44+Q44+R44)-(MIN(O44,N($E$10)))))</f>
        <v>0</v>
      </c>
      <c r="T44" s="43" t="n">
        <f aca="false">MAX(0,MIN(O44,$C$14-(P44+Q44+R44+S44)-(0)))</f>
        <v>0</v>
      </c>
      <c r="U44" s="43" t="n">
        <f aca="false">ROUND(K44-P44,2)</f>
        <v>2442.94</v>
      </c>
      <c r="V44" s="43" t="n">
        <f aca="false">ROUND(L44-Q44,2)</f>
        <v>7615.66</v>
      </c>
      <c r="W44" s="43" t="n">
        <f aca="false">ROUND(M44-R44,2)</f>
        <v>14099.18</v>
      </c>
      <c r="X44" s="43" t="n">
        <f aca="false">ROUND(N44-S44,2)</f>
        <v>0</v>
      </c>
      <c r="Y44" s="43" t="n">
        <f aca="false">ROUND(O44-T44,2)</f>
        <v>0</v>
      </c>
      <c r="Z44" s="43" t="n">
        <f aca="false">SUM(U44:Y44)</f>
        <v>24157.78</v>
      </c>
    </row>
    <row r="45" customFormat="false" ht="15" hidden="false" customHeight="false" outlineLevel="0" collapsed="false">
      <c r="J45" s="42" t="n">
        <f aca="false">EDATE($C$13,4)</f>
        <v>46508</v>
      </c>
      <c r="K45" s="43" t="n">
        <f aca="false">U44*(1+N($D$6)/12)</f>
        <v>2489.55943833333</v>
      </c>
      <c r="L45" s="43" t="n">
        <f aca="false">V44*(1+N($D$7)/12)</f>
        <v>7656.91149166667</v>
      </c>
      <c r="M45" s="43" t="n">
        <f aca="false">W44*(1+N($D$8)/12)</f>
        <v>14157.9265833333</v>
      </c>
      <c r="N45" s="43" t="n">
        <f aca="false">X44*(1+N($D$9)/12)</f>
        <v>0</v>
      </c>
      <c r="O45" s="43" t="n">
        <f aca="false">Y44*(1+N($D$10)/12)</f>
        <v>0</v>
      </c>
      <c r="P45" s="43" t="n">
        <f aca="false">MAX(0,MIN(K45,$C$14-(0)-(MIN(L45,N($E$7))+MIN(M45,N($E$8))+MIN(N45,N($E$9))+MIN(O45,N($E$10)))))</f>
        <v>245</v>
      </c>
      <c r="Q45" s="43" t="n">
        <f aca="false">MAX(0,MIN(L45,$C$14-(P45)-(MIN(M45,N($E$8))+MIN(N45,N($E$9))+MIN(O45,N($E$10)))))</f>
        <v>240</v>
      </c>
      <c r="R45" s="43" t="n">
        <f aca="false">MAX(0,MIN(M45,$C$14-(P45+Q45)-(MIN(N45,N($E$9))+MIN(O45,N($E$10)))))</f>
        <v>160</v>
      </c>
      <c r="S45" s="43" t="n">
        <f aca="false">MAX(0,MIN(N45,$C$14-(P45+Q45+R45)-(MIN(O45,N($E$10)))))</f>
        <v>0</v>
      </c>
      <c r="T45" s="43" t="n">
        <f aca="false">MAX(0,MIN(O45,$C$14-(P45+Q45+R45+S45)-(0)))</f>
        <v>0</v>
      </c>
      <c r="U45" s="43" t="n">
        <f aca="false">ROUND(K45-P45,2)</f>
        <v>2244.56</v>
      </c>
      <c r="V45" s="43" t="n">
        <f aca="false">ROUND(L45-Q45,2)</f>
        <v>7416.91</v>
      </c>
      <c r="W45" s="43" t="n">
        <f aca="false">ROUND(M45-R45,2)</f>
        <v>13997.93</v>
      </c>
      <c r="X45" s="43" t="n">
        <f aca="false">ROUND(N45-S45,2)</f>
        <v>0</v>
      </c>
      <c r="Y45" s="43" t="n">
        <f aca="false">ROUND(O45-T45,2)</f>
        <v>0</v>
      </c>
      <c r="Z45" s="43" t="n">
        <f aca="false">SUM(U45:Y45)</f>
        <v>23659.4</v>
      </c>
    </row>
    <row r="46" customFormat="false" ht="15" hidden="false" customHeight="false" outlineLevel="0" collapsed="false">
      <c r="J46" s="42" t="n">
        <f aca="false">EDATE($C$13,5)</f>
        <v>46539</v>
      </c>
      <c r="K46" s="43" t="n">
        <f aca="false">U45*(1+N($D$6)/12)</f>
        <v>2287.39368666667</v>
      </c>
      <c r="L46" s="43" t="n">
        <f aca="false">V45*(1+N($D$7)/12)</f>
        <v>7457.08492916667</v>
      </c>
      <c r="M46" s="43" t="n">
        <f aca="false">W45*(1+N($D$8)/12)</f>
        <v>14056.2547083333</v>
      </c>
      <c r="N46" s="43" t="n">
        <f aca="false">X45*(1+N($D$9)/12)</f>
        <v>0</v>
      </c>
      <c r="O46" s="43" t="n">
        <f aca="false">Y45*(1+N($D$10)/12)</f>
        <v>0</v>
      </c>
      <c r="P46" s="43" t="n">
        <f aca="false">MAX(0,MIN(K46,$C$14-(0)-(MIN(L46,N($E$7))+MIN(M46,N($E$8))+MIN(N46,N($E$9))+MIN(O46,N($E$10)))))</f>
        <v>245</v>
      </c>
      <c r="Q46" s="43" t="n">
        <f aca="false">MAX(0,MIN(L46,$C$14-(P46)-(MIN(M46,N($E$8))+MIN(N46,N($E$9))+MIN(O46,N($E$10)))))</f>
        <v>240</v>
      </c>
      <c r="R46" s="43" t="n">
        <f aca="false">MAX(0,MIN(M46,$C$14-(P46+Q46)-(MIN(N46,N($E$9))+MIN(O46,N($E$10)))))</f>
        <v>160</v>
      </c>
      <c r="S46" s="43" t="n">
        <f aca="false">MAX(0,MIN(N46,$C$14-(P46+Q46+R46)-(MIN(O46,N($E$10)))))</f>
        <v>0</v>
      </c>
      <c r="T46" s="43" t="n">
        <f aca="false">MAX(0,MIN(O46,$C$14-(P46+Q46+R46+S46)-(0)))</f>
        <v>0</v>
      </c>
      <c r="U46" s="43" t="n">
        <f aca="false">ROUND(K46-P46,2)</f>
        <v>2042.39</v>
      </c>
      <c r="V46" s="43" t="n">
        <f aca="false">ROUND(L46-Q46,2)</f>
        <v>7217.08</v>
      </c>
      <c r="W46" s="43" t="n">
        <f aca="false">ROUND(M46-R46,2)</f>
        <v>13896.25</v>
      </c>
      <c r="X46" s="43" t="n">
        <f aca="false">ROUND(N46-S46,2)</f>
        <v>0</v>
      </c>
      <c r="Y46" s="43" t="n">
        <f aca="false">ROUND(O46-T46,2)</f>
        <v>0</v>
      </c>
      <c r="Z46" s="43" t="n">
        <f aca="false">SUM(U46:Y46)</f>
        <v>23155.72</v>
      </c>
    </row>
    <row r="47" customFormat="false" ht="15" hidden="false" customHeight="false" outlineLevel="0" collapsed="false">
      <c r="J47" s="42" t="n">
        <f aca="false">EDATE($C$13,6)</f>
        <v>46569</v>
      </c>
      <c r="K47" s="43" t="n">
        <f aca="false">U46*(1+N($D$6)/12)</f>
        <v>2081.36560916667</v>
      </c>
      <c r="L47" s="43" t="n">
        <f aca="false">V46*(1+N($D$7)/12)</f>
        <v>7256.17251666667</v>
      </c>
      <c r="M47" s="43" t="n">
        <f aca="false">W46*(1+N($D$8)/12)</f>
        <v>13954.1510416667</v>
      </c>
      <c r="N47" s="43" t="n">
        <f aca="false">X46*(1+N($D$9)/12)</f>
        <v>0</v>
      </c>
      <c r="O47" s="43" t="n">
        <f aca="false">Y46*(1+N($D$10)/12)</f>
        <v>0</v>
      </c>
      <c r="P47" s="43" t="n">
        <f aca="false">MAX(0,MIN(K47,$C$14-(0)-(MIN(L47,N($E$7))+MIN(M47,N($E$8))+MIN(N47,N($E$9))+MIN(O47,N($E$10)))))</f>
        <v>245</v>
      </c>
      <c r="Q47" s="43" t="n">
        <f aca="false">MAX(0,MIN(L47,$C$14-(P47)-(MIN(M47,N($E$8))+MIN(N47,N($E$9))+MIN(O47,N($E$10)))))</f>
        <v>240</v>
      </c>
      <c r="R47" s="43" t="n">
        <f aca="false">MAX(0,MIN(M47,$C$14-(P47+Q47)-(MIN(N47,N($E$9))+MIN(O47,N($E$10)))))</f>
        <v>160</v>
      </c>
      <c r="S47" s="43" t="n">
        <f aca="false">MAX(0,MIN(N47,$C$14-(P47+Q47+R47)-(MIN(O47,N($E$10)))))</f>
        <v>0</v>
      </c>
      <c r="T47" s="43" t="n">
        <f aca="false">MAX(0,MIN(O47,$C$14-(P47+Q47+R47+S47)-(0)))</f>
        <v>0</v>
      </c>
      <c r="U47" s="43" t="n">
        <f aca="false">ROUND(K47-P47,2)</f>
        <v>1836.37</v>
      </c>
      <c r="V47" s="43" t="n">
        <f aca="false">ROUND(L47-Q47,2)</f>
        <v>7016.17</v>
      </c>
      <c r="W47" s="43" t="n">
        <f aca="false">ROUND(M47-R47,2)</f>
        <v>13794.15</v>
      </c>
      <c r="X47" s="43" t="n">
        <f aca="false">ROUND(N47-S47,2)</f>
        <v>0</v>
      </c>
      <c r="Y47" s="43" t="n">
        <f aca="false">ROUND(O47-T47,2)</f>
        <v>0</v>
      </c>
      <c r="Z47" s="43" t="n">
        <f aca="false">SUM(U47:Y47)</f>
        <v>22646.69</v>
      </c>
    </row>
    <row r="48" customFormat="false" ht="15" hidden="false" customHeight="false" outlineLevel="0" collapsed="false">
      <c r="J48" s="42" t="n">
        <f aca="false">EDATE($C$13,7)</f>
        <v>46600</v>
      </c>
      <c r="K48" s="43" t="n">
        <f aca="false">U47*(1+N($D$6)/12)</f>
        <v>1871.41406083333</v>
      </c>
      <c r="L48" s="43" t="n">
        <f aca="false">V47*(1+N($D$7)/12)</f>
        <v>7054.17425416667</v>
      </c>
      <c r="M48" s="43" t="n">
        <f aca="false">W47*(1+N($D$8)/12)</f>
        <v>13851.625625</v>
      </c>
      <c r="N48" s="43" t="n">
        <f aca="false">X47*(1+N($D$9)/12)</f>
        <v>0</v>
      </c>
      <c r="O48" s="43" t="n">
        <f aca="false">Y47*(1+N($D$10)/12)</f>
        <v>0</v>
      </c>
      <c r="P48" s="43" t="n">
        <f aca="false">MAX(0,MIN(K48,$C$14-(0)-(MIN(L48,N($E$7))+MIN(M48,N($E$8))+MIN(N48,N($E$9))+MIN(O48,N($E$10)))))</f>
        <v>245</v>
      </c>
      <c r="Q48" s="43" t="n">
        <f aca="false">MAX(0,MIN(L48,$C$14-(P48)-(MIN(M48,N($E$8))+MIN(N48,N($E$9))+MIN(O48,N($E$10)))))</f>
        <v>240</v>
      </c>
      <c r="R48" s="43" t="n">
        <f aca="false">MAX(0,MIN(M48,$C$14-(P48+Q48)-(MIN(N48,N($E$9))+MIN(O48,N($E$10)))))</f>
        <v>160</v>
      </c>
      <c r="S48" s="43" t="n">
        <f aca="false">MAX(0,MIN(N48,$C$14-(P48+Q48+R48)-(MIN(O48,N($E$10)))))</f>
        <v>0</v>
      </c>
      <c r="T48" s="43" t="n">
        <f aca="false">MAX(0,MIN(O48,$C$14-(P48+Q48+R48+S48)-(0)))</f>
        <v>0</v>
      </c>
      <c r="U48" s="43" t="n">
        <f aca="false">ROUND(K48-P48,2)</f>
        <v>1626.41</v>
      </c>
      <c r="V48" s="43" t="n">
        <f aca="false">ROUND(L48-Q48,2)</f>
        <v>6814.17</v>
      </c>
      <c r="W48" s="43" t="n">
        <f aca="false">ROUND(M48-R48,2)</f>
        <v>13691.63</v>
      </c>
      <c r="X48" s="43" t="n">
        <f aca="false">ROUND(N48-S48,2)</f>
        <v>0</v>
      </c>
      <c r="Y48" s="43" t="n">
        <f aca="false">ROUND(O48-T48,2)</f>
        <v>0</v>
      </c>
      <c r="Z48" s="43" t="n">
        <f aca="false">SUM(U48:Y48)</f>
        <v>22132.21</v>
      </c>
    </row>
    <row r="49" customFormat="false" ht="15" hidden="false" customHeight="false" outlineLevel="0" collapsed="false">
      <c r="J49" s="42" t="n">
        <f aca="false">EDATE($C$13,8)</f>
        <v>46631</v>
      </c>
      <c r="K49" s="43" t="n">
        <f aca="false">U48*(1+N($D$6)/12)</f>
        <v>1657.44732416667</v>
      </c>
      <c r="L49" s="43" t="n">
        <f aca="false">V48*(1+N($D$7)/12)</f>
        <v>6851.0800875</v>
      </c>
      <c r="M49" s="43" t="n">
        <f aca="false">W48*(1+N($D$8)/12)</f>
        <v>13748.6784583333</v>
      </c>
      <c r="N49" s="43" t="n">
        <f aca="false">X48*(1+N($D$9)/12)</f>
        <v>0</v>
      </c>
      <c r="O49" s="43" t="n">
        <f aca="false">Y48*(1+N($D$10)/12)</f>
        <v>0</v>
      </c>
      <c r="P49" s="43" t="n">
        <f aca="false">MAX(0,MIN(K49,$C$14-(0)-(MIN(L49,N($E$7))+MIN(M49,N($E$8))+MIN(N49,N($E$9))+MIN(O49,N($E$10)))))</f>
        <v>245</v>
      </c>
      <c r="Q49" s="43" t="n">
        <f aca="false">MAX(0,MIN(L49,$C$14-(P49)-(MIN(M49,N($E$8))+MIN(N49,N($E$9))+MIN(O49,N($E$10)))))</f>
        <v>240</v>
      </c>
      <c r="R49" s="43" t="n">
        <f aca="false">MAX(0,MIN(M49,$C$14-(P49+Q49)-(MIN(N49,N($E$9))+MIN(O49,N($E$10)))))</f>
        <v>160</v>
      </c>
      <c r="S49" s="43" t="n">
        <f aca="false">MAX(0,MIN(N49,$C$14-(P49+Q49+R49)-(MIN(O49,N($E$10)))))</f>
        <v>0</v>
      </c>
      <c r="T49" s="43" t="n">
        <f aca="false">MAX(0,MIN(O49,$C$14-(P49+Q49+R49+S49)-(0)))</f>
        <v>0</v>
      </c>
      <c r="U49" s="43" t="n">
        <f aca="false">ROUND(K49-P49,2)</f>
        <v>1412.45</v>
      </c>
      <c r="V49" s="43" t="n">
        <f aca="false">ROUND(L49-Q49,2)</f>
        <v>6611.08</v>
      </c>
      <c r="W49" s="43" t="n">
        <f aca="false">ROUND(M49-R49,2)</f>
        <v>13588.68</v>
      </c>
      <c r="X49" s="43" t="n">
        <f aca="false">ROUND(N49-S49,2)</f>
        <v>0</v>
      </c>
      <c r="Y49" s="43" t="n">
        <f aca="false">ROUND(O49-T49,2)</f>
        <v>0</v>
      </c>
      <c r="Z49" s="43" t="n">
        <f aca="false">SUM(U49:Y49)</f>
        <v>21612.21</v>
      </c>
    </row>
    <row r="50" customFormat="false" ht="15" hidden="false" customHeight="false" outlineLevel="0" collapsed="false">
      <c r="J50" s="42" t="n">
        <f aca="false">EDATE($C$13,9)</f>
        <v>46661</v>
      </c>
      <c r="K50" s="43" t="n">
        <f aca="false">U49*(1+N($D$6)/12)</f>
        <v>1439.40425416667</v>
      </c>
      <c r="L50" s="43" t="n">
        <f aca="false">V49*(1+N($D$7)/12)</f>
        <v>6646.89001666667</v>
      </c>
      <c r="M50" s="43" t="n">
        <f aca="false">W49*(1+N($D$8)/12)</f>
        <v>13645.2995</v>
      </c>
      <c r="N50" s="43" t="n">
        <f aca="false">X49*(1+N($D$9)/12)</f>
        <v>0</v>
      </c>
      <c r="O50" s="43" t="n">
        <f aca="false">Y49*(1+N($D$10)/12)</f>
        <v>0</v>
      </c>
      <c r="P50" s="43" t="n">
        <f aca="false">MAX(0,MIN(K50,$C$14-(0)-(MIN(L50,N($E$7))+MIN(M50,N($E$8))+MIN(N50,N($E$9))+MIN(O50,N($E$10)))))</f>
        <v>245</v>
      </c>
      <c r="Q50" s="43" t="n">
        <f aca="false">MAX(0,MIN(L50,$C$14-(P50)-(MIN(M50,N($E$8))+MIN(N50,N($E$9))+MIN(O50,N($E$10)))))</f>
        <v>240</v>
      </c>
      <c r="R50" s="43" t="n">
        <f aca="false">MAX(0,MIN(M50,$C$14-(P50+Q50)-(MIN(N50,N($E$9))+MIN(O50,N($E$10)))))</f>
        <v>160</v>
      </c>
      <c r="S50" s="43" t="n">
        <f aca="false">MAX(0,MIN(N50,$C$14-(P50+Q50+R50)-(MIN(O50,N($E$10)))))</f>
        <v>0</v>
      </c>
      <c r="T50" s="43" t="n">
        <f aca="false">MAX(0,MIN(O50,$C$14-(P50+Q50+R50+S50)-(0)))</f>
        <v>0</v>
      </c>
      <c r="U50" s="43" t="n">
        <f aca="false">ROUND(K50-P50,2)</f>
        <v>1194.4</v>
      </c>
      <c r="V50" s="43" t="n">
        <f aca="false">ROUND(L50-Q50,2)</f>
        <v>6406.89</v>
      </c>
      <c r="W50" s="43" t="n">
        <f aca="false">ROUND(M50-R50,2)</f>
        <v>13485.3</v>
      </c>
      <c r="X50" s="43" t="n">
        <f aca="false">ROUND(N50-S50,2)</f>
        <v>0</v>
      </c>
      <c r="Y50" s="43" t="n">
        <f aca="false">ROUND(O50-T50,2)</f>
        <v>0</v>
      </c>
      <c r="Z50" s="43" t="n">
        <f aca="false">SUM(U50:Y50)</f>
        <v>21086.59</v>
      </c>
    </row>
    <row r="51" customFormat="false" ht="15" hidden="false" customHeight="false" outlineLevel="0" collapsed="false">
      <c r="J51" s="42" t="n">
        <f aca="false">EDATE($C$13,10)</f>
        <v>46692</v>
      </c>
      <c r="K51" s="43" t="n">
        <f aca="false">U50*(1+N($D$6)/12)</f>
        <v>1217.19313333333</v>
      </c>
      <c r="L51" s="43" t="n">
        <f aca="false">V50*(1+N($D$7)/12)</f>
        <v>6441.5939875</v>
      </c>
      <c r="M51" s="43" t="n">
        <f aca="false">W50*(1+N($D$8)/12)</f>
        <v>13541.48875</v>
      </c>
      <c r="N51" s="43" t="n">
        <f aca="false">X50*(1+N($D$9)/12)</f>
        <v>0</v>
      </c>
      <c r="O51" s="43" t="n">
        <f aca="false">Y50*(1+N($D$10)/12)</f>
        <v>0</v>
      </c>
      <c r="P51" s="43" t="n">
        <f aca="false">MAX(0,MIN(K51,$C$14-(0)-(MIN(L51,N($E$7))+MIN(M51,N($E$8))+MIN(N51,N($E$9))+MIN(O51,N($E$10)))))</f>
        <v>245</v>
      </c>
      <c r="Q51" s="43" t="n">
        <f aca="false">MAX(0,MIN(L51,$C$14-(P51)-(MIN(M51,N($E$8))+MIN(N51,N($E$9))+MIN(O51,N($E$10)))))</f>
        <v>240</v>
      </c>
      <c r="R51" s="43" t="n">
        <f aca="false">MAX(0,MIN(M51,$C$14-(P51+Q51)-(MIN(N51,N($E$9))+MIN(O51,N($E$10)))))</f>
        <v>160</v>
      </c>
      <c r="S51" s="43" t="n">
        <f aca="false">MAX(0,MIN(N51,$C$14-(P51+Q51+R51)-(MIN(O51,N($E$10)))))</f>
        <v>0</v>
      </c>
      <c r="T51" s="43" t="n">
        <f aca="false">MAX(0,MIN(O51,$C$14-(P51+Q51+R51+S51)-(0)))</f>
        <v>0</v>
      </c>
      <c r="U51" s="43" t="n">
        <f aca="false">ROUND(K51-P51,2)</f>
        <v>972.19</v>
      </c>
      <c r="V51" s="43" t="n">
        <f aca="false">ROUND(L51-Q51,2)</f>
        <v>6201.59</v>
      </c>
      <c r="W51" s="43" t="n">
        <f aca="false">ROUND(M51-R51,2)</f>
        <v>13381.49</v>
      </c>
      <c r="X51" s="43" t="n">
        <f aca="false">ROUND(N51-S51,2)</f>
        <v>0</v>
      </c>
      <c r="Y51" s="43" t="n">
        <f aca="false">ROUND(O51-T51,2)</f>
        <v>0</v>
      </c>
      <c r="Z51" s="43" t="n">
        <f aca="false">SUM(U51:Y51)</f>
        <v>20555.27</v>
      </c>
    </row>
    <row r="52" customFormat="false" ht="15" hidden="false" customHeight="false" outlineLevel="0" collapsed="false">
      <c r="J52" s="42" t="n">
        <f aca="false">EDATE($C$13,11)</f>
        <v>46722</v>
      </c>
      <c r="K52" s="43" t="n">
        <f aca="false">U51*(1+N($D$6)/12)</f>
        <v>990.742625833333</v>
      </c>
      <c r="L52" s="43" t="n">
        <f aca="false">V51*(1+N($D$7)/12)</f>
        <v>6235.18194583333</v>
      </c>
      <c r="M52" s="43" t="n">
        <f aca="false">W51*(1+N($D$8)/12)</f>
        <v>13437.2462083333</v>
      </c>
      <c r="N52" s="43" t="n">
        <f aca="false">X51*(1+N($D$9)/12)</f>
        <v>0</v>
      </c>
      <c r="O52" s="43" t="n">
        <f aca="false">Y51*(1+N($D$10)/12)</f>
        <v>0</v>
      </c>
      <c r="P52" s="43" t="n">
        <f aca="false">MAX(0,MIN(K52,$C$14-(0)-(MIN(L52,N($E$7))+MIN(M52,N($E$8))+MIN(N52,N($E$9))+MIN(O52,N($E$10)))))</f>
        <v>245</v>
      </c>
      <c r="Q52" s="43" t="n">
        <f aca="false">MAX(0,MIN(L52,$C$14-(P52)-(MIN(M52,N($E$8))+MIN(N52,N($E$9))+MIN(O52,N($E$10)))))</f>
        <v>240</v>
      </c>
      <c r="R52" s="43" t="n">
        <f aca="false">MAX(0,MIN(M52,$C$14-(P52+Q52)-(MIN(N52,N($E$9))+MIN(O52,N($E$10)))))</f>
        <v>160</v>
      </c>
      <c r="S52" s="43" t="n">
        <f aca="false">MAX(0,MIN(N52,$C$14-(P52+Q52+R52)-(MIN(O52,N($E$10)))))</f>
        <v>0</v>
      </c>
      <c r="T52" s="43" t="n">
        <f aca="false">MAX(0,MIN(O52,$C$14-(P52+Q52+R52+S52)-(0)))</f>
        <v>0</v>
      </c>
      <c r="U52" s="43" t="n">
        <f aca="false">ROUND(K52-P52,2)</f>
        <v>745.74</v>
      </c>
      <c r="V52" s="43" t="n">
        <f aca="false">ROUND(L52-Q52,2)</f>
        <v>5995.18</v>
      </c>
      <c r="W52" s="43" t="n">
        <f aca="false">ROUND(M52-R52,2)</f>
        <v>13277.25</v>
      </c>
      <c r="X52" s="43" t="n">
        <f aca="false">ROUND(N52-S52,2)</f>
        <v>0</v>
      </c>
      <c r="Y52" s="43" t="n">
        <f aca="false">ROUND(O52-T52,2)</f>
        <v>0</v>
      </c>
      <c r="Z52" s="43" t="n">
        <f aca="false">SUM(U52:Y52)</f>
        <v>20018.17</v>
      </c>
    </row>
    <row r="53" customFormat="false" ht="15" hidden="false" customHeight="false" outlineLevel="0" collapsed="false">
      <c r="J53" s="42" t="n">
        <f aca="false">EDATE($C$13,12)</f>
        <v>46753</v>
      </c>
      <c r="K53" s="43" t="n">
        <f aca="false">U52*(1+N($D$6)/12)</f>
        <v>759.971205</v>
      </c>
      <c r="L53" s="43" t="n">
        <f aca="false">V52*(1+N($D$7)/12)</f>
        <v>6027.65389166667</v>
      </c>
      <c r="M53" s="43" t="n">
        <f aca="false">W52*(1+N($D$8)/12)</f>
        <v>13332.571875</v>
      </c>
      <c r="N53" s="43" t="n">
        <f aca="false">X52*(1+N($D$9)/12)</f>
        <v>0</v>
      </c>
      <c r="O53" s="43" t="n">
        <f aca="false">Y52*(1+N($D$10)/12)</f>
        <v>0</v>
      </c>
      <c r="P53" s="43" t="n">
        <f aca="false">MAX(0,MIN(K53,$C$14-(0)-(MIN(L53,N($E$7))+MIN(M53,N($E$8))+MIN(N53,N($E$9))+MIN(O53,N($E$10)))))</f>
        <v>245</v>
      </c>
      <c r="Q53" s="43" t="n">
        <f aca="false">MAX(0,MIN(L53,$C$14-(P53)-(MIN(M53,N($E$8))+MIN(N53,N($E$9))+MIN(O53,N($E$10)))))</f>
        <v>240</v>
      </c>
      <c r="R53" s="43" t="n">
        <f aca="false">MAX(0,MIN(M53,$C$14-(P53+Q53)-(MIN(N53,N($E$9))+MIN(O53,N($E$10)))))</f>
        <v>160</v>
      </c>
      <c r="S53" s="43" t="n">
        <f aca="false">MAX(0,MIN(N53,$C$14-(P53+Q53+R53)-(MIN(O53,N($E$10)))))</f>
        <v>0</v>
      </c>
      <c r="T53" s="43" t="n">
        <f aca="false">MAX(0,MIN(O53,$C$14-(P53+Q53+R53+S53)-(0)))</f>
        <v>0</v>
      </c>
      <c r="U53" s="43" t="n">
        <f aca="false">ROUND(K53-P53,2)</f>
        <v>514.97</v>
      </c>
      <c r="V53" s="43" t="n">
        <f aca="false">ROUND(L53-Q53,2)</f>
        <v>5787.65</v>
      </c>
      <c r="W53" s="43" t="n">
        <f aca="false">ROUND(M53-R53,2)</f>
        <v>13172.57</v>
      </c>
      <c r="X53" s="43" t="n">
        <f aca="false">ROUND(N53-S53,2)</f>
        <v>0</v>
      </c>
      <c r="Y53" s="43" t="n">
        <f aca="false">ROUND(O53-T53,2)</f>
        <v>0</v>
      </c>
      <c r="Z53" s="43" t="n">
        <f aca="false">SUM(U53:Y53)</f>
        <v>19475.19</v>
      </c>
    </row>
    <row r="54" customFormat="false" ht="15" hidden="false" customHeight="false" outlineLevel="0" collapsed="false">
      <c r="J54" s="42" t="n">
        <f aca="false">EDATE($C$13,13)</f>
        <v>46784</v>
      </c>
      <c r="K54" s="43" t="n">
        <f aca="false">U53*(1+N($D$6)/12)</f>
        <v>524.797344166667</v>
      </c>
      <c r="L54" s="43" t="n">
        <f aca="false">V53*(1+N($D$7)/12)</f>
        <v>5818.99977083333</v>
      </c>
      <c r="M54" s="43" t="n">
        <f aca="false">W53*(1+N($D$8)/12)</f>
        <v>13227.4557083333</v>
      </c>
      <c r="N54" s="43" t="n">
        <f aca="false">X53*(1+N($D$9)/12)</f>
        <v>0</v>
      </c>
      <c r="O54" s="43" t="n">
        <f aca="false">Y53*(1+N($D$10)/12)</f>
        <v>0</v>
      </c>
      <c r="P54" s="43" t="n">
        <f aca="false">MAX(0,MIN(K54,$C$14-(0)-(MIN(L54,N($E$7))+MIN(M54,N($E$8))+MIN(N54,N($E$9))+MIN(O54,N($E$10)))))</f>
        <v>245</v>
      </c>
      <c r="Q54" s="43" t="n">
        <f aca="false">MAX(0,MIN(L54,$C$14-(P54)-(MIN(M54,N($E$8))+MIN(N54,N($E$9))+MIN(O54,N($E$10)))))</f>
        <v>240</v>
      </c>
      <c r="R54" s="43" t="n">
        <f aca="false">MAX(0,MIN(M54,$C$14-(P54+Q54)-(MIN(N54,N($E$9))+MIN(O54,N($E$10)))))</f>
        <v>160</v>
      </c>
      <c r="S54" s="43" t="n">
        <f aca="false">MAX(0,MIN(N54,$C$14-(P54+Q54+R54)-(MIN(O54,N($E$10)))))</f>
        <v>0</v>
      </c>
      <c r="T54" s="43" t="n">
        <f aca="false">MAX(0,MIN(O54,$C$14-(P54+Q54+R54+S54)-(0)))</f>
        <v>0</v>
      </c>
      <c r="U54" s="43" t="n">
        <f aca="false">ROUND(K54-P54,2)</f>
        <v>279.8</v>
      </c>
      <c r="V54" s="43" t="n">
        <f aca="false">ROUND(L54-Q54,2)</f>
        <v>5579</v>
      </c>
      <c r="W54" s="43" t="n">
        <f aca="false">ROUND(M54-R54,2)</f>
        <v>13067.46</v>
      </c>
      <c r="X54" s="43" t="n">
        <f aca="false">ROUND(N54-S54,2)</f>
        <v>0</v>
      </c>
      <c r="Y54" s="43" t="n">
        <f aca="false">ROUND(O54-T54,2)</f>
        <v>0</v>
      </c>
      <c r="Z54" s="43" t="n">
        <f aca="false">SUM(U54:Y54)</f>
        <v>18926.26</v>
      </c>
    </row>
    <row r="55" customFormat="false" ht="15" hidden="false" customHeight="false" outlineLevel="0" collapsed="false">
      <c r="J55" s="42" t="n">
        <f aca="false">EDATE($C$13,14)</f>
        <v>46813</v>
      </c>
      <c r="K55" s="43" t="n">
        <f aca="false">U54*(1+N($D$6)/12)</f>
        <v>285.139516666667</v>
      </c>
      <c r="L55" s="43" t="n">
        <f aca="false">V54*(1+N($D$7)/12)</f>
        <v>5609.21958333333</v>
      </c>
      <c r="M55" s="43" t="n">
        <f aca="false">W54*(1+N($D$8)/12)</f>
        <v>13121.90775</v>
      </c>
      <c r="N55" s="43" t="n">
        <f aca="false">X54*(1+N($D$9)/12)</f>
        <v>0</v>
      </c>
      <c r="O55" s="43" t="n">
        <f aca="false">Y54*(1+N($D$10)/12)</f>
        <v>0</v>
      </c>
      <c r="P55" s="43" t="n">
        <f aca="false">MAX(0,MIN(K55,$C$14-(0)-(MIN(L55,N($E$7))+MIN(M55,N($E$8))+MIN(N55,N($E$9))+MIN(O55,N($E$10)))))</f>
        <v>245</v>
      </c>
      <c r="Q55" s="43" t="n">
        <f aca="false">MAX(0,MIN(L55,$C$14-(P55)-(MIN(M55,N($E$8))+MIN(N55,N($E$9))+MIN(O55,N($E$10)))))</f>
        <v>240</v>
      </c>
      <c r="R55" s="43" t="n">
        <f aca="false">MAX(0,MIN(M55,$C$14-(P55+Q55)-(MIN(N55,N($E$9))+MIN(O55,N($E$10)))))</f>
        <v>160</v>
      </c>
      <c r="S55" s="43" t="n">
        <f aca="false">MAX(0,MIN(N55,$C$14-(P55+Q55+R55)-(MIN(O55,N($E$10)))))</f>
        <v>0</v>
      </c>
      <c r="T55" s="43" t="n">
        <f aca="false">MAX(0,MIN(O55,$C$14-(P55+Q55+R55+S55)-(0)))</f>
        <v>0</v>
      </c>
      <c r="U55" s="43" t="n">
        <f aca="false">ROUND(K55-P55,2)</f>
        <v>40.14</v>
      </c>
      <c r="V55" s="43" t="n">
        <f aca="false">ROUND(L55-Q55,2)</f>
        <v>5369.22</v>
      </c>
      <c r="W55" s="43" t="n">
        <f aca="false">ROUND(M55-R55,2)</f>
        <v>12961.91</v>
      </c>
      <c r="X55" s="43" t="n">
        <f aca="false">ROUND(N55-S55,2)</f>
        <v>0</v>
      </c>
      <c r="Y55" s="43" t="n">
        <f aca="false">ROUND(O55-T55,2)</f>
        <v>0</v>
      </c>
      <c r="Z55" s="43" t="n">
        <f aca="false">SUM(U55:Y55)</f>
        <v>18371.27</v>
      </c>
    </row>
    <row r="56" customFormat="false" ht="15" hidden="false" customHeight="false" outlineLevel="0" collapsed="false">
      <c r="J56" s="42" t="n">
        <f aca="false">EDATE($C$13,15)</f>
        <v>46844</v>
      </c>
      <c r="K56" s="43" t="n">
        <f aca="false">U55*(1+N($D$6)/12)</f>
        <v>40.906005</v>
      </c>
      <c r="L56" s="43" t="n">
        <f aca="false">V55*(1+N($D$7)/12)</f>
        <v>5398.303275</v>
      </c>
      <c r="M56" s="43" t="n">
        <f aca="false">W55*(1+N($D$8)/12)</f>
        <v>13015.9179583333</v>
      </c>
      <c r="N56" s="43" t="n">
        <f aca="false">X55*(1+N($D$9)/12)</f>
        <v>0</v>
      </c>
      <c r="O56" s="43" t="n">
        <f aca="false">Y55*(1+N($D$10)/12)</f>
        <v>0</v>
      </c>
      <c r="P56" s="43" t="n">
        <f aca="false">MAX(0,MIN(K56,$C$14-(0)-(MIN(L56,N($E$7))+MIN(M56,N($E$8))+MIN(N56,N($E$9))+MIN(O56,N($E$10)))))</f>
        <v>40.906005</v>
      </c>
      <c r="Q56" s="43" t="n">
        <f aca="false">MAX(0,MIN(L56,$C$14-(P56)-(MIN(M56,N($E$8))+MIN(N56,N($E$9))+MIN(O56,N($E$10)))))</f>
        <v>444.093995</v>
      </c>
      <c r="R56" s="43" t="n">
        <f aca="false">MAX(0,MIN(M56,$C$14-(P56+Q56)-(MIN(N56,N($E$9))+MIN(O56,N($E$10)))))</f>
        <v>160</v>
      </c>
      <c r="S56" s="43" t="n">
        <f aca="false">MAX(0,MIN(N56,$C$14-(P56+Q56+R56)-(MIN(O56,N($E$10)))))</f>
        <v>0</v>
      </c>
      <c r="T56" s="43" t="n">
        <f aca="false">MAX(0,MIN(O56,$C$14-(P56+Q56+R56+S56)-(0)))</f>
        <v>0</v>
      </c>
      <c r="U56" s="43" t="n">
        <f aca="false">ROUND(K56-P56,2)</f>
        <v>0</v>
      </c>
      <c r="V56" s="43" t="n">
        <f aca="false">ROUND(L56-Q56,2)</f>
        <v>4954.21</v>
      </c>
      <c r="W56" s="43" t="n">
        <f aca="false">ROUND(M56-R56,2)</f>
        <v>12855.92</v>
      </c>
      <c r="X56" s="43" t="n">
        <f aca="false">ROUND(N56-S56,2)</f>
        <v>0</v>
      </c>
      <c r="Y56" s="43" t="n">
        <f aca="false">ROUND(O56-T56,2)</f>
        <v>0</v>
      </c>
      <c r="Z56" s="43" t="n">
        <f aca="false">SUM(U56:Y56)</f>
        <v>17810.13</v>
      </c>
    </row>
    <row r="57" customFormat="false" ht="15" hidden="false" customHeight="false" outlineLevel="0" collapsed="false">
      <c r="J57" s="42" t="n">
        <f aca="false">EDATE($C$13,16)</f>
        <v>46874</v>
      </c>
      <c r="K57" s="43" t="n">
        <f aca="false">U56*(1+N($D$6)/12)</f>
        <v>0</v>
      </c>
      <c r="L57" s="43" t="n">
        <f aca="false">V56*(1+N($D$7)/12)</f>
        <v>4981.04530416667</v>
      </c>
      <c r="M57" s="43" t="n">
        <f aca="false">W56*(1+N($D$8)/12)</f>
        <v>12909.4863333333</v>
      </c>
      <c r="N57" s="43" t="n">
        <f aca="false">X56*(1+N($D$9)/12)</f>
        <v>0</v>
      </c>
      <c r="O57" s="43" t="n">
        <f aca="false">Y56*(1+N($D$10)/12)</f>
        <v>0</v>
      </c>
      <c r="P57" s="43" t="n">
        <f aca="false">MAX(0,MIN(K57,$C$14-(0)-(MIN(L57,N($E$7))+MIN(M57,N($E$8))+MIN(N57,N($E$9))+MIN(O57,N($E$10)))))</f>
        <v>0</v>
      </c>
      <c r="Q57" s="43" t="n">
        <f aca="false">MAX(0,MIN(L57,$C$14-(P57)-(MIN(M57,N($E$8))+MIN(N57,N($E$9))+MIN(O57,N($E$10)))))</f>
        <v>485</v>
      </c>
      <c r="R57" s="43" t="n">
        <f aca="false">MAX(0,MIN(M57,$C$14-(P57+Q57)-(MIN(N57,N($E$9))+MIN(O57,N($E$10)))))</f>
        <v>160</v>
      </c>
      <c r="S57" s="43" t="n">
        <f aca="false">MAX(0,MIN(N57,$C$14-(P57+Q57+R57)-(MIN(O57,N($E$10)))))</f>
        <v>0</v>
      </c>
      <c r="T57" s="43" t="n">
        <f aca="false">MAX(0,MIN(O57,$C$14-(P57+Q57+R57+S57)-(0)))</f>
        <v>0</v>
      </c>
      <c r="U57" s="43" t="n">
        <f aca="false">ROUND(K57-P57,2)</f>
        <v>0</v>
      </c>
      <c r="V57" s="43" t="n">
        <f aca="false">ROUND(L57-Q57,2)</f>
        <v>4496.05</v>
      </c>
      <c r="W57" s="43" t="n">
        <f aca="false">ROUND(M57-R57,2)</f>
        <v>12749.49</v>
      </c>
      <c r="X57" s="43" t="n">
        <f aca="false">ROUND(N57-S57,2)</f>
        <v>0</v>
      </c>
      <c r="Y57" s="43" t="n">
        <f aca="false">ROUND(O57-T57,2)</f>
        <v>0</v>
      </c>
      <c r="Z57" s="43" t="n">
        <f aca="false">SUM(U57:Y57)</f>
        <v>17245.54</v>
      </c>
    </row>
    <row r="58" customFormat="false" ht="15" hidden="false" customHeight="false" outlineLevel="0" collapsed="false">
      <c r="J58" s="42" t="n">
        <f aca="false">EDATE($C$13,17)</f>
        <v>46905</v>
      </c>
      <c r="K58" s="43" t="n">
        <f aca="false">U57*(1+N($D$6)/12)</f>
        <v>0</v>
      </c>
      <c r="L58" s="43" t="n">
        <f aca="false">V57*(1+N($D$7)/12)</f>
        <v>4520.40360416667</v>
      </c>
      <c r="M58" s="43" t="n">
        <f aca="false">W57*(1+N($D$8)/12)</f>
        <v>12802.612875</v>
      </c>
      <c r="N58" s="43" t="n">
        <f aca="false">X57*(1+N($D$9)/12)</f>
        <v>0</v>
      </c>
      <c r="O58" s="43" t="n">
        <f aca="false">Y57*(1+N($D$10)/12)</f>
        <v>0</v>
      </c>
      <c r="P58" s="43" t="n">
        <f aca="false">MAX(0,MIN(K58,$C$14-(0)-(MIN(L58,N($E$7))+MIN(M58,N($E$8))+MIN(N58,N($E$9))+MIN(O58,N($E$10)))))</f>
        <v>0</v>
      </c>
      <c r="Q58" s="43" t="n">
        <f aca="false">MAX(0,MIN(L58,$C$14-(P58)-(MIN(M58,N($E$8))+MIN(N58,N($E$9))+MIN(O58,N($E$10)))))</f>
        <v>485</v>
      </c>
      <c r="R58" s="43" t="n">
        <f aca="false">MAX(0,MIN(M58,$C$14-(P58+Q58)-(MIN(N58,N($E$9))+MIN(O58,N($E$10)))))</f>
        <v>160</v>
      </c>
      <c r="S58" s="43" t="n">
        <f aca="false">MAX(0,MIN(N58,$C$14-(P58+Q58+R58)-(MIN(O58,N($E$10)))))</f>
        <v>0</v>
      </c>
      <c r="T58" s="43" t="n">
        <f aca="false">MAX(0,MIN(O58,$C$14-(P58+Q58+R58+S58)-(0)))</f>
        <v>0</v>
      </c>
      <c r="U58" s="43" t="n">
        <f aca="false">ROUND(K58-P58,2)</f>
        <v>0</v>
      </c>
      <c r="V58" s="43" t="n">
        <f aca="false">ROUND(L58-Q58,2)</f>
        <v>4035.4</v>
      </c>
      <c r="W58" s="43" t="n">
        <f aca="false">ROUND(M58-R58,2)</f>
        <v>12642.61</v>
      </c>
      <c r="X58" s="43" t="n">
        <f aca="false">ROUND(N58-S58,2)</f>
        <v>0</v>
      </c>
      <c r="Y58" s="43" t="n">
        <f aca="false">ROUND(O58-T58,2)</f>
        <v>0</v>
      </c>
      <c r="Z58" s="43" t="n">
        <f aca="false">SUM(U58:Y58)</f>
        <v>16678.01</v>
      </c>
    </row>
    <row r="59" customFormat="false" ht="15" hidden="false" customHeight="false" outlineLevel="0" collapsed="false">
      <c r="J59" s="42" t="n">
        <f aca="false">EDATE($C$13,18)</f>
        <v>46935</v>
      </c>
      <c r="K59" s="43" t="n">
        <f aca="false">U58*(1+N($D$6)/12)</f>
        <v>0</v>
      </c>
      <c r="L59" s="43" t="n">
        <f aca="false">V58*(1+N($D$7)/12)</f>
        <v>4057.25841666667</v>
      </c>
      <c r="M59" s="43" t="n">
        <f aca="false">W58*(1+N($D$8)/12)</f>
        <v>12695.2875416667</v>
      </c>
      <c r="N59" s="43" t="n">
        <f aca="false">X58*(1+N($D$9)/12)</f>
        <v>0</v>
      </c>
      <c r="O59" s="43" t="n">
        <f aca="false">Y58*(1+N($D$10)/12)</f>
        <v>0</v>
      </c>
      <c r="P59" s="43" t="n">
        <f aca="false">MAX(0,MIN(K59,$C$14-(0)-(MIN(L59,N($E$7))+MIN(M59,N($E$8))+MIN(N59,N($E$9))+MIN(O59,N($E$10)))))</f>
        <v>0</v>
      </c>
      <c r="Q59" s="43" t="n">
        <f aca="false">MAX(0,MIN(L59,$C$14-(P59)-(MIN(M59,N($E$8))+MIN(N59,N($E$9))+MIN(O59,N($E$10)))))</f>
        <v>485</v>
      </c>
      <c r="R59" s="43" t="n">
        <f aca="false">MAX(0,MIN(M59,$C$14-(P59+Q59)-(MIN(N59,N($E$9))+MIN(O59,N($E$10)))))</f>
        <v>160</v>
      </c>
      <c r="S59" s="43" t="n">
        <f aca="false">MAX(0,MIN(N59,$C$14-(P59+Q59+R59)-(MIN(O59,N($E$10)))))</f>
        <v>0</v>
      </c>
      <c r="T59" s="43" t="n">
        <f aca="false">MAX(0,MIN(O59,$C$14-(P59+Q59+R59+S59)-(0)))</f>
        <v>0</v>
      </c>
      <c r="U59" s="43" t="n">
        <f aca="false">ROUND(K59-P59,2)</f>
        <v>0</v>
      </c>
      <c r="V59" s="43" t="n">
        <f aca="false">ROUND(L59-Q59,2)</f>
        <v>3572.26</v>
      </c>
      <c r="W59" s="43" t="n">
        <f aca="false">ROUND(M59-R59,2)</f>
        <v>12535.29</v>
      </c>
      <c r="X59" s="43" t="n">
        <f aca="false">ROUND(N59-S59,2)</f>
        <v>0</v>
      </c>
      <c r="Y59" s="43" t="n">
        <f aca="false">ROUND(O59-T59,2)</f>
        <v>0</v>
      </c>
      <c r="Z59" s="43" t="n">
        <f aca="false">SUM(U59:Y59)</f>
        <v>16107.55</v>
      </c>
    </row>
    <row r="60" customFormat="false" ht="15" hidden="false" customHeight="false" outlineLevel="0" collapsed="false">
      <c r="J60" s="42" t="n">
        <f aca="false">EDATE($C$13,19)</f>
        <v>46966</v>
      </c>
      <c r="K60" s="43" t="n">
        <f aca="false">U59*(1+N($D$6)/12)</f>
        <v>0</v>
      </c>
      <c r="L60" s="43" t="n">
        <f aca="false">V59*(1+N($D$7)/12)</f>
        <v>3591.60974166667</v>
      </c>
      <c r="M60" s="43" t="n">
        <f aca="false">W59*(1+N($D$8)/12)</f>
        <v>12587.520375</v>
      </c>
      <c r="N60" s="43" t="n">
        <f aca="false">X59*(1+N($D$9)/12)</f>
        <v>0</v>
      </c>
      <c r="O60" s="43" t="n">
        <f aca="false">Y59*(1+N($D$10)/12)</f>
        <v>0</v>
      </c>
      <c r="P60" s="43" t="n">
        <f aca="false">MAX(0,MIN(K60,$C$14-(0)-(MIN(L60,N($E$7))+MIN(M60,N($E$8))+MIN(N60,N($E$9))+MIN(O60,N($E$10)))))</f>
        <v>0</v>
      </c>
      <c r="Q60" s="43" t="n">
        <f aca="false">MAX(0,MIN(L60,$C$14-(P60)-(MIN(M60,N($E$8))+MIN(N60,N($E$9))+MIN(O60,N($E$10)))))</f>
        <v>485</v>
      </c>
      <c r="R60" s="43" t="n">
        <f aca="false">MAX(0,MIN(M60,$C$14-(P60+Q60)-(MIN(N60,N($E$9))+MIN(O60,N($E$10)))))</f>
        <v>160</v>
      </c>
      <c r="S60" s="43" t="n">
        <f aca="false">MAX(0,MIN(N60,$C$14-(P60+Q60+R60)-(MIN(O60,N($E$10)))))</f>
        <v>0</v>
      </c>
      <c r="T60" s="43" t="n">
        <f aca="false">MAX(0,MIN(O60,$C$14-(P60+Q60+R60+S60)-(0)))</f>
        <v>0</v>
      </c>
      <c r="U60" s="43" t="n">
        <f aca="false">ROUND(K60-P60,2)</f>
        <v>0</v>
      </c>
      <c r="V60" s="43" t="n">
        <f aca="false">ROUND(L60-Q60,2)</f>
        <v>3106.61</v>
      </c>
      <c r="W60" s="43" t="n">
        <f aca="false">ROUND(M60-R60,2)</f>
        <v>12427.52</v>
      </c>
      <c r="X60" s="43" t="n">
        <f aca="false">ROUND(N60-S60,2)</f>
        <v>0</v>
      </c>
      <c r="Y60" s="43" t="n">
        <f aca="false">ROUND(O60-T60,2)</f>
        <v>0</v>
      </c>
      <c r="Z60" s="43" t="n">
        <f aca="false">SUM(U60:Y60)</f>
        <v>15534.13</v>
      </c>
    </row>
    <row r="61" customFormat="false" ht="15" hidden="false" customHeight="false" outlineLevel="0" collapsed="false">
      <c r="J61" s="42" t="n">
        <f aca="false">EDATE($C$13,20)</f>
        <v>46997</v>
      </c>
      <c r="K61" s="43" t="n">
        <f aca="false">U60*(1+N($D$6)/12)</f>
        <v>0</v>
      </c>
      <c r="L61" s="43" t="n">
        <f aca="false">V60*(1+N($D$7)/12)</f>
        <v>3123.43747083333</v>
      </c>
      <c r="M61" s="43" t="n">
        <f aca="false">W60*(1+N($D$8)/12)</f>
        <v>12479.3013333333</v>
      </c>
      <c r="N61" s="43" t="n">
        <f aca="false">X60*(1+N($D$9)/12)</f>
        <v>0</v>
      </c>
      <c r="O61" s="43" t="n">
        <f aca="false">Y60*(1+N($D$10)/12)</f>
        <v>0</v>
      </c>
      <c r="P61" s="43" t="n">
        <f aca="false">MAX(0,MIN(K61,$C$14-(0)-(MIN(L61,N($E$7))+MIN(M61,N($E$8))+MIN(N61,N($E$9))+MIN(O61,N($E$10)))))</f>
        <v>0</v>
      </c>
      <c r="Q61" s="43" t="n">
        <f aca="false">MAX(0,MIN(L61,$C$14-(P61)-(MIN(M61,N($E$8))+MIN(N61,N($E$9))+MIN(O61,N($E$10)))))</f>
        <v>485</v>
      </c>
      <c r="R61" s="43" t="n">
        <f aca="false">MAX(0,MIN(M61,$C$14-(P61+Q61)-(MIN(N61,N($E$9))+MIN(O61,N($E$10)))))</f>
        <v>160</v>
      </c>
      <c r="S61" s="43" t="n">
        <f aca="false">MAX(0,MIN(N61,$C$14-(P61+Q61+R61)-(MIN(O61,N($E$10)))))</f>
        <v>0</v>
      </c>
      <c r="T61" s="43" t="n">
        <f aca="false">MAX(0,MIN(O61,$C$14-(P61+Q61+R61+S61)-(0)))</f>
        <v>0</v>
      </c>
      <c r="U61" s="43" t="n">
        <f aca="false">ROUND(K61-P61,2)</f>
        <v>0</v>
      </c>
      <c r="V61" s="43" t="n">
        <f aca="false">ROUND(L61-Q61,2)</f>
        <v>2638.44</v>
      </c>
      <c r="W61" s="43" t="n">
        <f aca="false">ROUND(M61-R61,2)</f>
        <v>12319.3</v>
      </c>
      <c r="X61" s="43" t="n">
        <f aca="false">ROUND(N61-S61,2)</f>
        <v>0</v>
      </c>
      <c r="Y61" s="43" t="n">
        <f aca="false">ROUND(O61-T61,2)</f>
        <v>0</v>
      </c>
      <c r="Z61" s="43" t="n">
        <f aca="false">SUM(U61:Y61)</f>
        <v>14957.74</v>
      </c>
    </row>
    <row r="62" customFormat="false" ht="15" hidden="false" customHeight="false" outlineLevel="0" collapsed="false">
      <c r="J62" s="42" t="n">
        <f aca="false">EDATE($C$13,21)</f>
        <v>47027</v>
      </c>
      <c r="K62" s="43" t="n">
        <f aca="false">U61*(1+N($D$6)/12)</f>
        <v>0</v>
      </c>
      <c r="L62" s="43" t="n">
        <f aca="false">V61*(1+N($D$7)/12)</f>
        <v>2652.73155</v>
      </c>
      <c r="M62" s="43" t="n">
        <f aca="false">W61*(1+N($D$8)/12)</f>
        <v>12370.6304166667</v>
      </c>
      <c r="N62" s="43" t="n">
        <f aca="false">X61*(1+N($D$9)/12)</f>
        <v>0</v>
      </c>
      <c r="O62" s="43" t="n">
        <f aca="false">Y61*(1+N($D$10)/12)</f>
        <v>0</v>
      </c>
      <c r="P62" s="43" t="n">
        <f aca="false">MAX(0,MIN(K62,$C$14-(0)-(MIN(L62,N($E$7))+MIN(M62,N($E$8))+MIN(N62,N($E$9))+MIN(O62,N($E$10)))))</f>
        <v>0</v>
      </c>
      <c r="Q62" s="43" t="n">
        <f aca="false">MAX(0,MIN(L62,$C$14-(P62)-(MIN(M62,N($E$8))+MIN(N62,N($E$9))+MIN(O62,N($E$10)))))</f>
        <v>485</v>
      </c>
      <c r="R62" s="43" t="n">
        <f aca="false">MAX(0,MIN(M62,$C$14-(P62+Q62)-(MIN(N62,N($E$9))+MIN(O62,N($E$10)))))</f>
        <v>160</v>
      </c>
      <c r="S62" s="43" t="n">
        <f aca="false">MAX(0,MIN(N62,$C$14-(P62+Q62+R62)-(MIN(O62,N($E$10)))))</f>
        <v>0</v>
      </c>
      <c r="T62" s="43" t="n">
        <f aca="false">MAX(0,MIN(O62,$C$14-(P62+Q62+R62+S62)-(0)))</f>
        <v>0</v>
      </c>
      <c r="U62" s="43" t="n">
        <f aca="false">ROUND(K62-P62,2)</f>
        <v>0</v>
      </c>
      <c r="V62" s="43" t="n">
        <f aca="false">ROUND(L62-Q62,2)</f>
        <v>2167.73</v>
      </c>
      <c r="W62" s="43" t="n">
        <f aca="false">ROUND(M62-R62,2)</f>
        <v>12210.63</v>
      </c>
      <c r="X62" s="43" t="n">
        <f aca="false">ROUND(N62-S62,2)</f>
        <v>0</v>
      </c>
      <c r="Y62" s="43" t="n">
        <f aca="false">ROUND(O62-T62,2)</f>
        <v>0</v>
      </c>
      <c r="Z62" s="43" t="n">
        <f aca="false">SUM(U62:Y62)</f>
        <v>14378.36</v>
      </c>
    </row>
    <row r="63" customFormat="false" ht="15" hidden="false" customHeight="false" outlineLevel="0" collapsed="false">
      <c r="J63" s="42" t="n">
        <f aca="false">EDATE($C$13,22)</f>
        <v>47058</v>
      </c>
      <c r="K63" s="43" t="n">
        <f aca="false">U62*(1+N($D$6)/12)</f>
        <v>0</v>
      </c>
      <c r="L63" s="43" t="n">
        <f aca="false">V62*(1+N($D$7)/12)</f>
        <v>2179.47187083333</v>
      </c>
      <c r="M63" s="43" t="n">
        <f aca="false">W62*(1+N($D$8)/12)</f>
        <v>12261.507625</v>
      </c>
      <c r="N63" s="43" t="n">
        <f aca="false">X62*(1+N($D$9)/12)</f>
        <v>0</v>
      </c>
      <c r="O63" s="43" t="n">
        <f aca="false">Y62*(1+N($D$10)/12)</f>
        <v>0</v>
      </c>
      <c r="P63" s="43" t="n">
        <f aca="false">MAX(0,MIN(K63,$C$14-(0)-(MIN(L63,N($E$7))+MIN(M63,N($E$8))+MIN(N63,N($E$9))+MIN(O63,N($E$10)))))</f>
        <v>0</v>
      </c>
      <c r="Q63" s="43" t="n">
        <f aca="false">MAX(0,MIN(L63,$C$14-(P63)-(MIN(M63,N($E$8))+MIN(N63,N($E$9))+MIN(O63,N($E$10)))))</f>
        <v>485</v>
      </c>
      <c r="R63" s="43" t="n">
        <f aca="false">MAX(0,MIN(M63,$C$14-(P63+Q63)-(MIN(N63,N($E$9))+MIN(O63,N($E$10)))))</f>
        <v>160</v>
      </c>
      <c r="S63" s="43" t="n">
        <f aca="false">MAX(0,MIN(N63,$C$14-(P63+Q63+R63)-(MIN(O63,N($E$10)))))</f>
        <v>0</v>
      </c>
      <c r="T63" s="43" t="n">
        <f aca="false">MAX(0,MIN(O63,$C$14-(P63+Q63+R63+S63)-(0)))</f>
        <v>0</v>
      </c>
      <c r="U63" s="43" t="n">
        <f aca="false">ROUND(K63-P63,2)</f>
        <v>0</v>
      </c>
      <c r="V63" s="43" t="n">
        <f aca="false">ROUND(L63-Q63,2)</f>
        <v>1694.47</v>
      </c>
      <c r="W63" s="43" t="n">
        <f aca="false">ROUND(M63-R63,2)</f>
        <v>12101.51</v>
      </c>
      <c r="X63" s="43" t="n">
        <f aca="false">ROUND(N63-S63,2)</f>
        <v>0</v>
      </c>
      <c r="Y63" s="43" t="n">
        <f aca="false">ROUND(O63-T63,2)</f>
        <v>0</v>
      </c>
      <c r="Z63" s="43" t="n">
        <f aca="false">SUM(U63:Y63)</f>
        <v>13795.98</v>
      </c>
    </row>
    <row r="64" customFormat="false" ht="15" hidden="false" customHeight="false" outlineLevel="0" collapsed="false">
      <c r="J64" s="42" t="n">
        <f aca="false">EDATE($C$13,23)</f>
        <v>47088</v>
      </c>
      <c r="K64" s="43" t="n">
        <f aca="false">U63*(1+N($D$6)/12)</f>
        <v>0</v>
      </c>
      <c r="L64" s="43" t="n">
        <f aca="false">V63*(1+N($D$7)/12)</f>
        <v>1703.64837916667</v>
      </c>
      <c r="M64" s="43" t="n">
        <f aca="false">W63*(1+N($D$8)/12)</f>
        <v>12151.9329583333</v>
      </c>
      <c r="N64" s="43" t="n">
        <f aca="false">X63*(1+N($D$9)/12)</f>
        <v>0</v>
      </c>
      <c r="O64" s="43" t="n">
        <f aca="false">Y63*(1+N($D$10)/12)</f>
        <v>0</v>
      </c>
      <c r="P64" s="43" t="n">
        <f aca="false">MAX(0,MIN(K64,$C$14-(0)-(MIN(L64,N($E$7))+MIN(M64,N($E$8))+MIN(N64,N($E$9))+MIN(O64,N($E$10)))))</f>
        <v>0</v>
      </c>
      <c r="Q64" s="43" t="n">
        <f aca="false">MAX(0,MIN(L64,$C$14-(P64)-(MIN(M64,N($E$8))+MIN(N64,N($E$9))+MIN(O64,N($E$10)))))</f>
        <v>485</v>
      </c>
      <c r="R64" s="43" t="n">
        <f aca="false">MAX(0,MIN(M64,$C$14-(P64+Q64)-(MIN(N64,N($E$9))+MIN(O64,N($E$10)))))</f>
        <v>160</v>
      </c>
      <c r="S64" s="43" t="n">
        <f aca="false">MAX(0,MIN(N64,$C$14-(P64+Q64+R64)-(MIN(O64,N($E$10)))))</f>
        <v>0</v>
      </c>
      <c r="T64" s="43" t="n">
        <f aca="false">MAX(0,MIN(O64,$C$14-(P64+Q64+R64+S64)-(0)))</f>
        <v>0</v>
      </c>
      <c r="U64" s="43" t="n">
        <f aca="false">ROUND(K64-P64,2)</f>
        <v>0</v>
      </c>
      <c r="V64" s="43" t="n">
        <f aca="false">ROUND(L64-Q64,2)</f>
        <v>1218.65</v>
      </c>
      <c r="W64" s="43" t="n">
        <f aca="false">ROUND(M64-R64,2)</f>
        <v>11991.93</v>
      </c>
      <c r="X64" s="43" t="n">
        <f aca="false">ROUND(N64-S64,2)</f>
        <v>0</v>
      </c>
      <c r="Y64" s="43" t="n">
        <f aca="false">ROUND(O64-T64,2)</f>
        <v>0</v>
      </c>
      <c r="Z64" s="43" t="n">
        <f aca="false">SUM(U64:Y64)</f>
        <v>13210.58</v>
      </c>
    </row>
    <row r="65" customFormat="false" ht="15" hidden="false" customHeight="false" outlineLevel="0" collapsed="false">
      <c r="J65" s="42" t="n">
        <f aca="false">EDATE($C$13,24)</f>
        <v>47119</v>
      </c>
      <c r="K65" s="43" t="n">
        <f aca="false">U64*(1+N($D$6)/12)</f>
        <v>0</v>
      </c>
      <c r="L65" s="43" t="n">
        <f aca="false">V64*(1+N($D$7)/12)</f>
        <v>1225.25102083333</v>
      </c>
      <c r="M65" s="43" t="n">
        <f aca="false">W64*(1+N($D$8)/12)</f>
        <v>12041.896375</v>
      </c>
      <c r="N65" s="43" t="n">
        <f aca="false">X64*(1+N($D$9)/12)</f>
        <v>0</v>
      </c>
      <c r="O65" s="43" t="n">
        <f aca="false">Y64*(1+N($D$10)/12)</f>
        <v>0</v>
      </c>
      <c r="P65" s="43" t="n">
        <f aca="false">MAX(0,MIN(K65,$C$14-(0)-(MIN(L65,N($E$7))+MIN(M65,N($E$8))+MIN(N65,N($E$9))+MIN(O65,N($E$10)))))</f>
        <v>0</v>
      </c>
      <c r="Q65" s="43" t="n">
        <f aca="false">MAX(0,MIN(L65,$C$14-(P65)-(MIN(M65,N($E$8))+MIN(N65,N($E$9))+MIN(O65,N($E$10)))))</f>
        <v>485</v>
      </c>
      <c r="R65" s="43" t="n">
        <f aca="false">MAX(0,MIN(M65,$C$14-(P65+Q65)-(MIN(N65,N($E$9))+MIN(O65,N($E$10)))))</f>
        <v>160</v>
      </c>
      <c r="S65" s="43" t="n">
        <f aca="false">MAX(0,MIN(N65,$C$14-(P65+Q65+R65)-(MIN(O65,N($E$10)))))</f>
        <v>0</v>
      </c>
      <c r="T65" s="43" t="n">
        <f aca="false">MAX(0,MIN(O65,$C$14-(P65+Q65+R65+S65)-(0)))</f>
        <v>0</v>
      </c>
      <c r="U65" s="43" t="n">
        <f aca="false">ROUND(K65-P65,2)</f>
        <v>0</v>
      </c>
      <c r="V65" s="43" t="n">
        <f aca="false">ROUND(L65-Q65,2)</f>
        <v>740.25</v>
      </c>
      <c r="W65" s="43" t="n">
        <f aca="false">ROUND(M65-R65,2)</f>
        <v>11881.9</v>
      </c>
      <c r="X65" s="43" t="n">
        <f aca="false">ROUND(N65-S65,2)</f>
        <v>0</v>
      </c>
      <c r="Y65" s="43" t="n">
        <f aca="false">ROUND(O65-T65,2)</f>
        <v>0</v>
      </c>
      <c r="Z65" s="43" t="n">
        <f aca="false">SUM(U65:Y65)</f>
        <v>12622.15</v>
      </c>
    </row>
    <row r="66" customFormat="false" ht="15" hidden="false" customHeight="false" outlineLevel="0" collapsed="false">
      <c r="J66" s="42" t="n">
        <f aca="false">EDATE($C$13,25)</f>
        <v>47150</v>
      </c>
      <c r="K66" s="43" t="n">
        <f aca="false">U65*(1+N($D$6)/12)</f>
        <v>0</v>
      </c>
      <c r="L66" s="43" t="n">
        <f aca="false">V65*(1+N($D$7)/12)</f>
        <v>744.2596875</v>
      </c>
      <c r="M66" s="43" t="n">
        <f aca="false">W65*(1+N($D$8)/12)</f>
        <v>11931.4079166667</v>
      </c>
      <c r="N66" s="43" t="n">
        <f aca="false">X65*(1+N($D$9)/12)</f>
        <v>0</v>
      </c>
      <c r="O66" s="43" t="n">
        <f aca="false">Y65*(1+N($D$10)/12)</f>
        <v>0</v>
      </c>
      <c r="P66" s="43" t="n">
        <f aca="false">MAX(0,MIN(K66,$C$14-(0)-(MIN(L66,N($E$7))+MIN(M66,N($E$8))+MIN(N66,N($E$9))+MIN(O66,N($E$10)))))</f>
        <v>0</v>
      </c>
      <c r="Q66" s="43" t="n">
        <f aca="false">MAX(0,MIN(L66,$C$14-(P66)-(MIN(M66,N($E$8))+MIN(N66,N($E$9))+MIN(O66,N($E$10)))))</f>
        <v>485</v>
      </c>
      <c r="R66" s="43" t="n">
        <f aca="false">MAX(0,MIN(M66,$C$14-(P66+Q66)-(MIN(N66,N($E$9))+MIN(O66,N($E$10)))))</f>
        <v>160</v>
      </c>
      <c r="S66" s="43" t="n">
        <f aca="false">MAX(0,MIN(N66,$C$14-(P66+Q66+R66)-(MIN(O66,N($E$10)))))</f>
        <v>0</v>
      </c>
      <c r="T66" s="43" t="n">
        <f aca="false">MAX(0,MIN(O66,$C$14-(P66+Q66+R66+S66)-(0)))</f>
        <v>0</v>
      </c>
      <c r="U66" s="43" t="n">
        <f aca="false">ROUND(K66-P66,2)</f>
        <v>0</v>
      </c>
      <c r="V66" s="43" t="n">
        <f aca="false">ROUND(L66-Q66,2)</f>
        <v>259.26</v>
      </c>
      <c r="W66" s="43" t="n">
        <f aca="false">ROUND(M66-R66,2)</f>
        <v>11771.41</v>
      </c>
      <c r="X66" s="43" t="n">
        <f aca="false">ROUND(N66-S66,2)</f>
        <v>0</v>
      </c>
      <c r="Y66" s="43" t="n">
        <f aca="false">ROUND(O66-T66,2)</f>
        <v>0</v>
      </c>
      <c r="Z66" s="43" t="n">
        <f aca="false">SUM(U66:Y66)</f>
        <v>12030.67</v>
      </c>
    </row>
    <row r="67" customFormat="false" ht="15" hidden="false" customHeight="false" outlineLevel="0" collapsed="false">
      <c r="J67" s="42" t="n">
        <f aca="false">EDATE($C$13,26)</f>
        <v>47178</v>
      </c>
      <c r="K67" s="43" t="n">
        <f aca="false">U66*(1+N($D$6)/12)</f>
        <v>0</v>
      </c>
      <c r="L67" s="43" t="n">
        <f aca="false">V66*(1+N($D$7)/12)</f>
        <v>260.664325</v>
      </c>
      <c r="M67" s="43" t="n">
        <f aca="false">W66*(1+N($D$8)/12)</f>
        <v>11820.4575416667</v>
      </c>
      <c r="N67" s="43" t="n">
        <f aca="false">X66*(1+N($D$9)/12)</f>
        <v>0</v>
      </c>
      <c r="O67" s="43" t="n">
        <f aca="false">Y66*(1+N($D$10)/12)</f>
        <v>0</v>
      </c>
      <c r="P67" s="43" t="n">
        <f aca="false">MAX(0,MIN(K67,$C$14-(0)-(MIN(L67,N($E$7))+MIN(M67,N($E$8))+MIN(N67,N($E$9))+MIN(O67,N($E$10)))))</f>
        <v>0</v>
      </c>
      <c r="Q67" s="43" t="n">
        <f aca="false">MAX(0,MIN(L67,$C$14-(P67)-(MIN(M67,N($E$8))+MIN(N67,N($E$9))+MIN(O67,N($E$10)))))</f>
        <v>260.664325</v>
      </c>
      <c r="R67" s="43" t="n">
        <f aca="false">MAX(0,MIN(M67,$C$14-(P67+Q67)-(MIN(N67,N($E$9))+MIN(O67,N($E$10)))))</f>
        <v>384.335675</v>
      </c>
      <c r="S67" s="43" t="n">
        <f aca="false">MAX(0,MIN(N67,$C$14-(P67+Q67+R67)-(MIN(O67,N($E$10)))))</f>
        <v>0</v>
      </c>
      <c r="T67" s="43" t="n">
        <f aca="false">MAX(0,MIN(O67,$C$14-(P67+Q67+R67+S67)-(0)))</f>
        <v>0</v>
      </c>
      <c r="U67" s="43" t="n">
        <f aca="false">ROUND(K67-P67,2)</f>
        <v>0</v>
      </c>
      <c r="V67" s="43" t="n">
        <f aca="false">ROUND(L67-Q67,2)</f>
        <v>0</v>
      </c>
      <c r="W67" s="43" t="n">
        <f aca="false">ROUND(M67-R67,2)</f>
        <v>11436.12</v>
      </c>
      <c r="X67" s="43" t="n">
        <f aca="false">ROUND(N67-S67,2)</f>
        <v>0</v>
      </c>
      <c r="Y67" s="43" t="n">
        <f aca="false">ROUND(O67-T67,2)</f>
        <v>0</v>
      </c>
      <c r="Z67" s="43" t="n">
        <f aca="false">SUM(U67:Y67)</f>
        <v>11436.12</v>
      </c>
    </row>
    <row r="68" customFormat="false" ht="15" hidden="false" customHeight="false" outlineLevel="0" collapsed="false">
      <c r="J68" s="42" t="n">
        <f aca="false">EDATE($C$13,27)</f>
        <v>47209</v>
      </c>
      <c r="K68" s="43" t="n">
        <f aca="false">U67*(1+N($D$6)/12)</f>
        <v>0</v>
      </c>
      <c r="L68" s="43" t="n">
        <f aca="false">V67*(1+N($D$7)/12)</f>
        <v>0</v>
      </c>
      <c r="M68" s="43" t="n">
        <f aca="false">W67*(1+N($D$8)/12)</f>
        <v>11483.7705</v>
      </c>
      <c r="N68" s="43" t="n">
        <f aca="false">X67*(1+N($D$9)/12)</f>
        <v>0</v>
      </c>
      <c r="O68" s="43" t="n">
        <f aca="false">Y67*(1+N($D$10)/12)</f>
        <v>0</v>
      </c>
      <c r="P68" s="43" t="n">
        <f aca="false">MAX(0,MIN(K68,$C$14-(0)-(MIN(L68,N($E$7))+MIN(M68,N($E$8))+MIN(N68,N($E$9))+MIN(O68,N($E$10)))))</f>
        <v>0</v>
      </c>
      <c r="Q68" s="43" t="n">
        <f aca="false">MAX(0,MIN(L68,$C$14-(P68)-(MIN(M68,N($E$8))+MIN(N68,N($E$9))+MIN(O68,N($E$10)))))</f>
        <v>0</v>
      </c>
      <c r="R68" s="43" t="n">
        <f aca="false">MAX(0,MIN(M68,$C$14-(P68+Q68)-(MIN(N68,N($E$9))+MIN(O68,N($E$10)))))</f>
        <v>645</v>
      </c>
      <c r="S68" s="43" t="n">
        <f aca="false">MAX(0,MIN(N68,$C$14-(P68+Q68+R68)-(MIN(O68,N($E$10)))))</f>
        <v>0</v>
      </c>
      <c r="T68" s="43" t="n">
        <f aca="false">MAX(0,MIN(O68,$C$14-(P68+Q68+R68+S68)-(0)))</f>
        <v>0</v>
      </c>
      <c r="U68" s="43" t="n">
        <f aca="false">ROUND(K68-P68,2)</f>
        <v>0</v>
      </c>
      <c r="V68" s="43" t="n">
        <f aca="false">ROUND(L68-Q68,2)</f>
        <v>0</v>
      </c>
      <c r="W68" s="43" t="n">
        <f aca="false">ROUND(M68-R68,2)</f>
        <v>10838.77</v>
      </c>
      <c r="X68" s="43" t="n">
        <f aca="false">ROUND(N68-S68,2)</f>
        <v>0</v>
      </c>
      <c r="Y68" s="43" t="n">
        <f aca="false">ROUND(O68-T68,2)</f>
        <v>0</v>
      </c>
      <c r="Z68" s="43" t="n">
        <f aca="false">SUM(U68:Y68)</f>
        <v>10838.77</v>
      </c>
    </row>
    <row r="69" customFormat="false" ht="15" hidden="false" customHeight="false" outlineLevel="0" collapsed="false">
      <c r="J69" s="42" t="n">
        <f aca="false">EDATE($C$13,28)</f>
        <v>47239</v>
      </c>
      <c r="K69" s="43" t="n">
        <f aca="false">U68*(1+N($D$6)/12)</f>
        <v>0</v>
      </c>
      <c r="L69" s="43" t="n">
        <f aca="false">V68*(1+N($D$7)/12)</f>
        <v>0</v>
      </c>
      <c r="M69" s="43" t="n">
        <f aca="false">W68*(1+N($D$8)/12)</f>
        <v>10883.9315416667</v>
      </c>
      <c r="N69" s="43" t="n">
        <f aca="false">X68*(1+N($D$9)/12)</f>
        <v>0</v>
      </c>
      <c r="O69" s="43" t="n">
        <f aca="false">Y68*(1+N($D$10)/12)</f>
        <v>0</v>
      </c>
      <c r="P69" s="43" t="n">
        <f aca="false">MAX(0,MIN(K69,$C$14-(0)-(MIN(L69,N($E$7))+MIN(M69,N($E$8))+MIN(N69,N($E$9))+MIN(O69,N($E$10)))))</f>
        <v>0</v>
      </c>
      <c r="Q69" s="43" t="n">
        <f aca="false">MAX(0,MIN(L69,$C$14-(P69)-(MIN(M69,N($E$8))+MIN(N69,N($E$9))+MIN(O69,N($E$10)))))</f>
        <v>0</v>
      </c>
      <c r="R69" s="43" t="n">
        <f aca="false">MAX(0,MIN(M69,$C$14-(P69+Q69)-(MIN(N69,N($E$9))+MIN(O69,N($E$10)))))</f>
        <v>645</v>
      </c>
      <c r="S69" s="43" t="n">
        <f aca="false">MAX(0,MIN(N69,$C$14-(P69+Q69+R69)-(MIN(O69,N($E$10)))))</f>
        <v>0</v>
      </c>
      <c r="T69" s="43" t="n">
        <f aca="false">MAX(0,MIN(O69,$C$14-(P69+Q69+R69+S69)-(0)))</f>
        <v>0</v>
      </c>
      <c r="U69" s="43" t="n">
        <f aca="false">ROUND(K69-P69,2)</f>
        <v>0</v>
      </c>
      <c r="V69" s="43" t="n">
        <f aca="false">ROUND(L69-Q69,2)</f>
        <v>0</v>
      </c>
      <c r="W69" s="43" t="n">
        <f aca="false">ROUND(M69-R69,2)</f>
        <v>10238.93</v>
      </c>
      <c r="X69" s="43" t="n">
        <f aca="false">ROUND(N69-S69,2)</f>
        <v>0</v>
      </c>
      <c r="Y69" s="43" t="n">
        <f aca="false">ROUND(O69-T69,2)</f>
        <v>0</v>
      </c>
      <c r="Z69" s="43" t="n">
        <f aca="false">SUM(U69:Y69)</f>
        <v>10238.93</v>
      </c>
    </row>
    <row r="70" customFormat="false" ht="15" hidden="false" customHeight="false" outlineLevel="0" collapsed="false">
      <c r="J70" s="42" t="n">
        <f aca="false">EDATE($C$13,29)</f>
        <v>47270</v>
      </c>
      <c r="K70" s="43" t="n">
        <f aca="false">U69*(1+N($D$6)/12)</f>
        <v>0</v>
      </c>
      <c r="L70" s="43" t="n">
        <f aca="false">V69*(1+N($D$7)/12)</f>
        <v>0</v>
      </c>
      <c r="M70" s="43" t="n">
        <f aca="false">W69*(1+N($D$8)/12)</f>
        <v>10281.5922083333</v>
      </c>
      <c r="N70" s="43" t="n">
        <f aca="false">X69*(1+N($D$9)/12)</f>
        <v>0</v>
      </c>
      <c r="O70" s="43" t="n">
        <f aca="false">Y69*(1+N($D$10)/12)</f>
        <v>0</v>
      </c>
      <c r="P70" s="43" t="n">
        <f aca="false">MAX(0,MIN(K70,$C$14-(0)-(MIN(L70,N($E$7))+MIN(M70,N($E$8))+MIN(N70,N($E$9))+MIN(O70,N($E$10)))))</f>
        <v>0</v>
      </c>
      <c r="Q70" s="43" t="n">
        <f aca="false">MAX(0,MIN(L70,$C$14-(P70)-(MIN(M70,N($E$8))+MIN(N70,N($E$9))+MIN(O70,N($E$10)))))</f>
        <v>0</v>
      </c>
      <c r="R70" s="43" t="n">
        <f aca="false">MAX(0,MIN(M70,$C$14-(P70+Q70)-(MIN(N70,N($E$9))+MIN(O70,N($E$10)))))</f>
        <v>645</v>
      </c>
      <c r="S70" s="43" t="n">
        <f aca="false">MAX(0,MIN(N70,$C$14-(P70+Q70+R70)-(MIN(O70,N($E$10)))))</f>
        <v>0</v>
      </c>
      <c r="T70" s="43" t="n">
        <f aca="false">MAX(0,MIN(O70,$C$14-(P70+Q70+R70+S70)-(0)))</f>
        <v>0</v>
      </c>
      <c r="U70" s="43" t="n">
        <f aca="false">ROUND(K70-P70,2)</f>
        <v>0</v>
      </c>
      <c r="V70" s="43" t="n">
        <f aca="false">ROUND(L70-Q70,2)</f>
        <v>0</v>
      </c>
      <c r="W70" s="43" t="n">
        <f aca="false">ROUND(M70-R70,2)</f>
        <v>9636.59</v>
      </c>
      <c r="X70" s="43" t="n">
        <f aca="false">ROUND(N70-S70,2)</f>
        <v>0</v>
      </c>
      <c r="Y70" s="43" t="n">
        <f aca="false">ROUND(O70-T70,2)</f>
        <v>0</v>
      </c>
      <c r="Z70" s="43" t="n">
        <f aca="false">SUM(U70:Y70)</f>
        <v>9636.59</v>
      </c>
    </row>
    <row r="71" customFormat="false" ht="15" hidden="false" customHeight="false" outlineLevel="0" collapsed="false">
      <c r="J71" s="42" t="n">
        <f aca="false">EDATE($C$13,30)</f>
        <v>47300</v>
      </c>
      <c r="K71" s="43" t="n">
        <f aca="false">U70*(1+N($D$6)/12)</f>
        <v>0</v>
      </c>
      <c r="L71" s="43" t="n">
        <f aca="false">V70*(1+N($D$7)/12)</f>
        <v>0</v>
      </c>
      <c r="M71" s="43" t="n">
        <f aca="false">W70*(1+N($D$8)/12)</f>
        <v>9676.74245833333</v>
      </c>
      <c r="N71" s="43" t="n">
        <f aca="false">X70*(1+N($D$9)/12)</f>
        <v>0</v>
      </c>
      <c r="O71" s="43" t="n">
        <f aca="false">Y70*(1+N($D$10)/12)</f>
        <v>0</v>
      </c>
      <c r="P71" s="43" t="n">
        <f aca="false">MAX(0,MIN(K71,$C$14-(0)-(MIN(L71,N($E$7))+MIN(M71,N($E$8))+MIN(N71,N($E$9))+MIN(O71,N($E$10)))))</f>
        <v>0</v>
      </c>
      <c r="Q71" s="43" t="n">
        <f aca="false">MAX(0,MIN(L71,$C$14-(P71)-(MIN(M71,N($E$8))+MIN(N71,N($E$9))+MIN(O71,N($E$10)))))</f>
        <v>0</v>
      </c>
      <c r="R71" s="43" t="n">
        <f aca="false">MAX(0,MIN(M71,$C$14-(P71+Q71)-(MIN(N71,N($E$9))+MIN(O71,N($E$10)))))</f>
        <v>645</v>
      </c>
      <c r="S71" s="43" t="n">
        <f aca="false">MAX(0,MIN(N71,$C$14-(P71+Q71+R71)-(MIN(O71,N($E$10)))))</f>
        <v>0</v>
      </c>
      <c r="T71" s="43" t="n">
        <f aca="false">MAX(0,MIN(O71,$C$14-(P71+Q71+R71+S71)-(0)))</f>
        <v>0</v>
      </c>
      <c r="U71" s="43" t="n">
        <f aca="false">ROUND(K71-P71,2)</f>
        <v>0</v>
      </c>
      <c r="V71" s="43" t="n">
        <f aca="false">ROUND(L71-Q71,2)</f>
        <v>0</v>
      </c>
      <c r="W71" s="43" t="n">
        <f aca="false">ROUND(M71-R71,2)</f>
        <v>9031.74</v>
      </c>
      <c r="X71" s="43" t="n">
        <f aca="false">ROUND(N71-S71,2)</f>
        <v>0</v>
      </c>
      <c r="Y71" s="43" t="n">
        <f aca="false">ROUND(O71-T71,2)</f>
        <v>0</v>
      </c>
      <c r="Z71" s="43" t="n">
        <f aca="false">SUM(U71:Y71)</f>
        <v>9031.74</v>
      </c>
    </row>
    <row r="72" customFormat="false" ht="15" hidden="false" customHeight="false" outlineLevel="0" collapsed="false">
      <c r="J72" s="42" t="n">
        <f aca="false">EDATE($C$13,31)</f>
        <v>47331</v>
      </c>
      <c r="K72" s="43" t="n">
        <f aca="false">U71*(1+N($D$6)/12)</f>
        <v>0</v>
      </c>
      <c r="L72" s="43" t="n">
        <f aca="false">V71*(1+N($D$7)/12)</f>
        <v>0</v>
      </c>
      <c r="M72" s="43" t="n">
        <f aca="false">W71*(1+N($D$8)/12)</f>
        <v>9069.37225</v>
      </c>
      <c r="N72" s="43" t="n">
        <f aca="false">X71*(1+N($D$9)/12)</f>
        <v>0</v>
      </c>
      <c r="O72" s="43" t="n">
        <f aca="false">Y71*(1+N($D$10)/12)</f>
        <v>0</v>
      </c>
      <c r="P72" s="43" t="n">
        <f aca="false">MAX(0,MIN(K72,$C$14-(0)-(MIN(L72,N($E$7))+MIN(M72,N($E$8))+MIN(N72,N($E$9))+MIN(O72,N($E$10)))))</f>
        <v>0</v>
      </c>
      <c r="Q72" s="43" t="n">
        <f aca="false">MAX(0,MIN(L72,$C$14-(P72)-(MIN(M72,N($E$8))+MIN(N72,N($E$9))+MIN(O72,N($E$10)))))</f>
        <v>0</v>
      </c>
      <c r="R72" s="43" t="n">
        <f aca="false">MAX(0,MIN(M72,$C$14-(P72+Q72)-(MIN(N72,N($E$9))+MIN(O72,N($E$10)))))</f>
        <v>645</v>
      </c>
      <c r="S72" s="43" t="n">
        <f aca="false">MAX(0,MIN(N72,$C$14-(P72+Q72+R72)-(MIN(O72,N($E$10)))))</f>
        <v>0</v>
      </c>
      <c r="T72" s="43" t="n">
        <f aca="false">MAX(0,MIN(O72,$C$14-(P72+Q72+R72+S72)-(0)))</f>
        <v>0</v>
      </c>
      <c r="U72" s="43" t="n">
        <f aca="false">ROUND(K72-P72,2)</f>
        <v>0</v>
      </c>
      <c r="V72" s="43" t="n">
        <f aca="false">ROUND(L72-Q72,2)</f>
        <v>0</v>
      </c>
      <c r="W72" s="43" t="n">
        <f aca="false">ROUND(M72-R72,2)</f>
        <v>8424.37</v>
      </c>
      <c r="X72" s="43" t="n">
        <f aca="false">ROUND(N72-S72,2)</f>
        <v>0</v>
      </c>
      <c r="Y72" s="43" t="n">
        <f aca="false">ROUND(O72-T72,2)</f>
        <v>0</v>
      </c>
      <c r="Z72" s="43" t="n">
        <f aca="false">SUM(U72:Y72)</f>
        <v>8424.37</v>
      </c>
    </row>
    <row r="73" customFormat="false" ht="15" hidden="false" customHeight="false" outlineLevel="0" collapsed="false">
      <c r="J73" s="42" t="n">
        <f aca="false">EDATE($C$13,32)</f>
        <v>47362</v>
      </c>
      <c r="K73" s="43" t="n">
        <f aca="false">U72*(1+N($D$6)/12)</f>
        <v>0</v>
      </c>
      <c r="L73" s="43" t="n">
        <f aca="false">V72*(1+N($D$7)/12)</f>
        <v>0</v>
      </c>
      <c r="M73" s="43" t="n">
        <f aca="false">W72*(1+N($D$8)/12)</f>
        <v>8459.47154166667</v>
      </c>
      <c r="N73" s="43" t="n">
        <f aca="false">X72*(1+N($D$9)/12)</f>
        <v>0</v>
      </c>
      <c r="O73" s="43" t="n">
        <f aca="false">Y72*(1+N($D$10)/12)</f>
        <v>0</v>
      </c>
      <c r="P73" s="43" t="n">
        <f aca="false">MAX(0,MIN(K73,$C$14-(0)-(MIN(L73,N($E$7))+MIN(M73,N($E$8))+MIN(N73,N($E$9))+MIN(O73,N($E$10)))))</f>
        <v>0</v>
      </c>
      <c r="Q73" s="43" t="n">
        <f aca="false">MAX(0,MIN(L73,$C$14-(P73)-(MIN(M73,N($E$8))+MIN(N73,N($E$9))+MIN(O73,N($E$10)))))</f>
        <v>0</v>
      </c>
      <c r="R73" s="43" t="n">
        <f aca="false">MAX(0,MIN(M73,$C$14-(P73+Q73)-(MIN(N73,N($E$9))+MIN(O73,N($E$10)))))</f>
        <v>645</v>
      </c>
      <c r="S73" s="43" t="n">
        <f aca="false">MAX(0,MIN(N73,$C$14-(P73+Q73+R73)-(MIN(O73,N($E$10)))))</f>
        <v>0</v>
      </c>
      <c r="T73" s="43" t="n">
        <f aca="false">MAX(0,MIN(O73,$C$14-(P73+Q73+R73+S73)-(0)))</f>
        <v>0</v>
      </c>
      <c r="U73" s="43" t="n">
        <f aca="false">ROUND(K73-P73,2)</f>
        <v>0</v>
      </c>
      <c r="V73" s="43" t="n">
        <f aca="false">ROUND(L73-Q73,2)</f>
        <v>0</v>
      </c>
      <c r="W73" s="43" t="n">
        <f aca="false">ROUND(M73-R73,2)</f>
        <v>7814.47</v>
      </c>
      <c r="X73" s="43" t="n">
        <f aca="false">ROUND(N73-S73,2)</f>
        <v>0</v>
      </c>
      <c r="Y73" s="43" t="n">
        <f aca="false">ROUND(O73-T73,2)</f>
        <v>0</v>
      </c>
      <c r="Z73" s="43" t="n">
        <f aca="false">SUM(U73:Y73)</f>
        <v>7814.47</v>
      </c>
    </row>
    <row r="74" customFormat="false" ht="15" hidden="false" customHeight="false" outlineLevel="0" collapsed="false">
      <c r="J74" s="42" t="n">
        <f aca="false">EDATE($C$13,33)</f>
        <v>47392</v>
      </c>
      <c r="K74" s="43" t="n">
        <f aca="false">U73*(1+N($D$6)/12)</f>
        <v>0</v>
      </c>
      <c r="L74" s="43" t="n">
        <f aca="false">V73*(1+N($D$7)/12)</f>
        <v>0</v>
      </c>
      <c r="M74" s="43" t="n">
        <f aca="false">W73*(1+N($D$8)/12)</f>
        <v>7847.03029166667</v>
      </c>
      <c r="N74" s="43" t="n">
        <f aca="false">X73*(1+N($D$9)/12)</f>
        <v>0</v>
      </c>
      <c r="O74" s="43" t="n">
        <f aca="false">Y73*(1+N($D$10)/12)</f>
        <v>0</v>
      </c>
      <c r="P74" s="43" t="n">
        <f aca="false">MAX(0,MIN(K74,$C$14-(0)-(MIN(L74,N($E$7))+MIN(M74,N($E$8))+MIN(N74,N($E$9))+MIN(O74,N($E$10)))))</f>
        <v>0</v>
      </c>
      <c r="Q74" s="43" t="n">
        <f aca="false">MAX(0,MIN(L74,$C$14-(P74)-(MIN(M74,N($E$8))+MIN(N74,N($E$9))+MIN(O74,N($E$10)))))</f>
        <v>0</v>
      </c>
      <c r="R74" s="43" t="n">
        <f aca="false">MAX(0,MIN(M74,$C$14-(P74+Q74)-(MIN(N74,N($E$9))+MIN(O74,N($E$10)))))</f>
        <v>645</v>
      </c>
      <c r="S74" s="43" t="n">
        <f aca="false">MAX(0,MIN(N74,$C$14-(P74+Q74+R74)-(MIN(O74,N($E$10)))))</f>
        <v>0</v>
      </c>
      <c r="T74" s="43" t="n">
        <f aca="false">MAX(0,MIN(O74,$C$14-(P74+Q74+R74+S74)-(0)))</f>
        <v>0</v>
      </c>
      <c r="U74" s="43" t="n">
        <f aca="false">ROUND(K74-P74,2)</f>
        <v>0</v>
      </c>
      <c r="V74" s="43" t="n">
        <f aca="false">ROUND(L74-Q74,2)</f>
        <v>0</v>
      </c>
      <c r="W74" s="43" t="n">
        <f aca="false">ROUND(M74-R74,2)</f>
        <v>7202.03</v>
      </c>
      <c r="X74" s="43" t="n">
        <f aca="false">ROUND(N74-S74,2)</f>
        <v>0</v>
      </c>
      <c r="Y74" s="43" t="n">
        <f aca="false">ROUND(O74-T74,2)</f>
        <v>0</v>
      </c>
      <c r="Z74" s="43" t="n">
        <f aca="false">SUM(U74:Y74)</f>
        <v>7202.03</v>
      </c>
    </row>
    <row r="75" customFormat="false" ht="15" hidden="false" customHeight="false" outlineLevel="0" collapsed="false">
      <c r="J75" s="42" t="n">
        <f aca="false">EDATE($C$13,34)</f>
        <v>47423</v>
      </c>
      <c r="K75" s="43" t="n">
        <f aca="false">U74*(1+N($D$6)/12)</f>
        <v>0</v>
      </c>
      <c r="L75" s="43" t="n">
        <f aca="false">V74*(1+N($D$7)/12)</f>
        <v>0</v>
      </c>
      <c r="M75" s="43" t="n">
        <f aca="false">W74*(1+N($D$8)/12)</f>
        <v>7232.03845833333</v>
      </c>
      <c r="N75" s="43" t="n">
        <f aca="false">X74*(1+N($D$9)/12)</f>
        <v>0</v>
      </c>
      <c r="O75" s="43" t="n">
        <f aca="false">Y74*(1+N($D$10)/12)</f>
        <v>0</v>
      </c>
      <c r="P75" s="43" t="n">
        <f aca="false">MAX(0,MIN(K75,$C$14-(0)-(MIN(L75,N($E$7))+MIN(M75,N($E$8))+MIN(N75,N($E$9))+MIN(O75,N($E$10)))))</f>
        <v>0</v>
      </c>
      <c r="Q75" s="43" t="n">
        <f aca="false">MAX(0,MIN(L75,$C$14-(P75)-(MIN(M75,N($E$8))+MIN(N75,N($E$9))+MIN(O75,N($E$10)))))</f>
        <v>0</v>
      </c>
      <c r="R75" s="43" t="n">
        <f aca="false">MAX(0,MIN(M75,$C$14-(P75+Q75)-(MIN(N75,N($E$9))+MIN(O75,N($E$10)))))</f>
        <v>645</v>
      </c>
      <c r="S75" s="43" t="n">
        <f aca="false">MAX(0,MIN(N75,$C$14-(P75+Q75+R75)-(MIN(O75,N($E$10)))))</f>
        <v>0</v>
      </c>
      <c r="T75" s="43" t="n">
        <f aca="false">MAX(0,MIN(O75,$C$14-(P75+Q75+R75+S75)-(0)))</f>
        <v>0</v>
      </c>
      <c r="U75" s="43" t="n">
        <f aca="false">ROUND(K75-P75,2)</f>
        <v>0</v>
      </c>
      <c r="V75" s="43" t="n">
        <f aca="false">ROUND(L75-Q75,2)</f>
        <v>0</v>
      </c>
      <c r="W75" s="43" t="n">
        <f aca="false">ROUND(M75-R75,2)</f>
        <v>6587.04</v>
      </c>
      <c r="X75" s="43" t="n">
        <f aca="false">ROUND(N75-S75,2)</f>
        <v>0</v>
      </c>
      <c r="Y75" s="43" t="n">
        <f aca="false">ROUND(O75-T75,2)</f>
        <v>0</v>
      </c>
      <c r="Z75" s="43" t="n">
        <f aca="false">SUM(U75:Y75)</f>
        <v>6587.04</v>
      </c>
    </row>
    <row r="76" customFormat="false" ht="15" hidden="false" customHeight="false" outlineLevel="0" collapsed="false">
      <c r="J76" s="42" t="n">
        <f aca="false">EDATE($C$13,35)</f>
        <v>47453</v>
      </c>
      <c r="K76" s="43" t="n">
        <f aca="false">U75*(1+N($D$6)/12)</f>
        <v>0</v>
      </c>
      <c r="L76" s="43" t="n">
        <f aca="false">V75*(1+N($D$7)/12)</f>
        <v>0</v>
      </c>
      <c r="M76" s="43" t="n">
        <f aca="false">W75*(1+N($D$8)/12)</f>
        <v>6614.486</v>
      </c>
      <c r="N76" s="43" t="n">
        <f aca="false">X75*(1+N($D$9)/12)</f>
        <v>0</v>
      </c>
      <c r="O76" s="43" t="n">
        <f aca="false">Y75*(1+N($D$10)/12)</f>
        <v>0</v>
      </c>
      <c r="P76" s="43" t="n">
        <f aca="false">MAX(0,MIN(K76,$C$14-(0)-(MIN(L76,N($E$7))+MIN(M76,N($E$8))+MIN(N76,N($E$9))+MIN(O76,N($E$10)))))</f>
        <v>0</v>
      </c>
      <c r="Q76" s="43" t="n">
        <f aca="false">MAX(0,MIN(L76,$C$14-(P76)-(MIN(M76,N($E$8))+MIN(N76,N($E$9))+MIN(O76,N($E$10)))))</f>
        <v>0</v>
      </c>
      <c r="R76" s="43" t="n">
        <f aca="false">MAX(0,MIN(M76,$C$14-(P76+Q76)-(MIN(N76,N($E$9))+MIN(O76,N($E$10)))))</f>
        <v>645</v>
      </c>
      <c r="S76" s="43" t="n">
        <f aca="false">MAX(0,MIN(N76,$C$14-(P76+Q76+R76)-(MIN(O76,N($E$10)))))</f>
        <v>0</v>
      </c>
      <c r="T76" s="43" t="n">
        <f aca="false">MAX(0,MIN(O76,$C$14-(P76+Q76+R76+S76)-(0)))</f>
        <v>0</v>
      </c>
      <c r="U76" s="43" t="n">
        <f aca="false">ROUND(K76-P76,2)</f>
        <v>0</v>
      </c>
      <c r="V76" s="43" t="n">
        <f aca="false">ROUND(L76-Q76,2)</f>
        <v>0</v>
      </c>
      <c r="W76" s="43" t="n">
        <f aca="false">ROUND(M76-R76,2)</f>
        <v>5969.49</v>
      </c>
      <c r="X76" s="43" t="n">
        <f aca="false">ROUND(N76-S76,2)</f>
        <v>0</v>
      </c>
      <c r="Y76" s="43" t="n">
        <f aca="false">ROUND(O76-T76,2)</f>
        <v>0</v>
      </c>
      <c r="Z76" s="43" t="n">
        <f aca="false">SUM(U76:Y76)</f>
        <v>5969.49</v>
      </c>
    </row>
    <row r="77" customFormat="false" ht="15" hidden="false" customHeight="false" outlineLevel="0" collapsed="false">
      <c r="J77" s="42" t="n">
        <f aca="false">EDATE($C$13,36)</f>
        <v>47484</v>
      </c>
      <c r="K77" s="43" t="n">
        <f aca="false">U76*(1+N($D$6)/12)</f>
        <v>0</v>
      </c>
      <c r="L77" s="43" t="n">
        <f aca="false">V76*(1+N($D$7)/12)</f>
        <v>0</v>
      </c>
      <c r="M77" s="43" t="n">
        <f aca="false">W76*(1+N($D$8)/12)</f>
        <v>5994.362875</v>
      </c>
      <c r="N77" s="43" t="n">
        <f aca="false">X76*(1+N($D$9)/12)</f>
        <v>0</v>
      </c>
      <c r="O77" s="43" t="n">
        <f aca="false">Y76*(1+N($D$10)/12)</f>
        <v>0</v>
      </c>
      <c r="P77" s="43" t="n">
        <f aca="false">MAX(0,MIN(K77,$C$14-(0)-(MIN(L77,N($E$7))+MIN(M77,N($E$8))+MIN(N77,N($E$9))+MIN(O77,N($E$10)))))</f>
        <v>0</v>
      </c>
      <c r="Q77" s="43" t="n">
        <f aca="false">MAX(0,MIN(L77,$C$14-(P77)-(MIN(M77,N($E$8))+MIN(N77,N($E$9))+MIN(O77,N($E$10)))))</f>
        <v>0</v>
      </c>
      <c r="R77" s="43" t="n">
        <f aca="false">MAX(0,MIN(M77,$C$14-(P77+Q77)-(MIN(N77,N($E$9))+MIN(O77,N($E$10)))))</f>
        <v>645</v>
      </c>
      <c r="S77" s="43" t="n">
        <f aca="false">MAX(0,MIN(N77,$C$14-(P77+Q77+R77)-(MIN(O77,N($E$10)))))</f>
        <v>0</v>
      </c>
      <c r="T77" s="43" t="n">
        <f aca="false">MAX(0,MIN(O77,$C$14-(P77+Q77+R77+S77)-(0)))</f>
        <v>0</v>
      </c>
      <c r="U77" s="43" t="n">
        <f aca="false">ROUND(K77-P77,2)</f>
        <v>0</v>
      </c>
      <c r="V77" s="43" t="n">
        <f aca="false">ROUND(L77-Q77,2)</f>
        <v>0</v>
      </c>
      <c r="W77" s="43" t="n">
        <f aca="false">ROUND(M77-R77,2)</f>
        <v>5349.36</v>
      </c>
      <c r="X77" s="43" t="n">
        <f aca="false">ROUND(N77-S77,2)</f>
        <v>0</v>
      </c>
      <c r="Y77" s="43" t="n">
        <f aca="false">ROUND(O77-T77,2)</f>
        <v>0</v>
      </c>
      <c r="Z77" s="43" t="n">
        <f aca="false">SUM(U77:Y77)</f>
        <v>5349.36</v>
      </c>
    </row>
    <row r="78" customFormat="false" ht="15" hidden="false" customHeight="false" outlineLevel="0" collapsed="false">
      <c r="J78" s="42" t="n">
        <f aca="false">EDATE($C$13,37)</f>
        <v>47515</v>
      </c>
      <c r="K78" s="43" t="n">
        <f aca="false">U77*(1+N($D$6)/12)</f>
        <v>0</v>
      </c>
      <c r="L78" s="43" t="n">
        <f aca="false">V77*(1+N($D$7)/12)</f>
        <v>0</v>
      </c>
      <c r="M78" s="43" t="n">
        <f aca="false">W77*(1+N($D$8)/12)</f>
        <v>5371.649</v>
      </c>
      <c r="N78" s="43" t="n">
        <f aca="false">X77*(1+N($D$9)/12)</f>
        <v>0</v>
      </c>
      <c r="O78" s="43" t="n">
        <f aca="false">Y77*(1+N($D$10)/12)</f>
        <v>0</v>
      </c>
      <c r="P78" s="43" t="n">
        <f aca="false">MAX(0,MIN(K78,$C$14-(0)-(MIN(L78,N($E$7))+MIN(M78,N($E$8))+MIN(N78,N($E$9))+MIN(O78,N($E$10)))))</f>
        <v>0</v>
      </c>
      <c r="Q78" s="43" t="n">
        <f aca="false">MAX(0,MIN(L78,$C$14-(P78)-(MIN(M78,N($E$8))+MIN(N78,N($E$9))+MIN(O78,N($E$10)))))</f>
        <v>0</v>
      </c>
      <c r="R78" s="43" t="n">
        <f aca="false">MAX(0,MIN(M78,$C$14-(P78+Q78)-(MIN(N78,N($E$9))+MIN(O78,N($E$10)))))</f>
        <v>645</v>
      </c>
      <c r="S78" s="43" t="n">
        <f aca="false">MAX(0,MIN(N78,$C$14-(P78+Q78+R78)-(MIN(O78,N($E$10)))))</f>
        <v>0</v>
      </c>
      <c r="T78" s="43" t="n">
        <f aca="false">MAX(0,MIN(O78,$C$14-(P78+Q78+R78+S78)-(0)))</f>
        <v>0</v>
      </c>
      <c r="U78" s="43" t="n">
        <f aca="false">ROUND(K78-P78,2)</f>
        <v>0</v>
      </c>
      <c r="V78" s="43" t="n">
        <f aca="false">ROUND(L78-Q78,2)</f>
        <v>0</v>
      </c>
      <c r="W78" s="43" t="n">
        <f aca="false">ROUND(M78-R78,2)</f>
        <v>4726.65</v>
      </c>
      <c r="X78" s="43" t="n">
        <f aca="false">ROUND(N78-S78,2)</f>
        <v>0</v>
      </c>
      <c r="Y78" s="43" t="n">
        <f aca="false">ROUND(O78-T78,2)</f>
        <v>0</v>
      </c>
      <c r="Z78" s="43" t="n">
        <f aca="false">SUM(U78:Y78)</f>
        <v>4726.65</v>
      </c>
    </row>
    <row r="79" customFormat="false" ht="15" hidden="false" customHeight="false" outlineLevel="0" collapsed="false">
      <c r="J79" s="42" t="n">
        <f aca="false">EDATE($C$13,38)</f>
        <v>47543</v>
      </c>
      <c r="K79" s="43" t="n">
        <f aca="false">U78*(1+N($D$6)/12)</f>
        <v>0</v>
      </c>
      <c r="L79" s="43" t="n">
        <f aca="false">V78*(1+N($D$7)/12)</f>
        <v>0</v>
      </c>
      <c r="M79" s="43" t="n">
        <f aca="false">W78*(1+N($D$8)/12)</f>
        <v>4746.344375</v>
      </c>
      <c r="N79" s="43" t="n">
        <f aca="false">X78*(1+N($D$9)/12)</f>
        <v>0</v>
      </c>
      <c r="O79" s="43" t="n">
        <f aca="false">Y78*(1+N($D$10)/12)</f>
        <v>0</v>
      </c>
      <c r="P79" s="43" t="n">
        <f aca="false">MAX(0,MIN(K79,$C$14-(0)-(MIN(L79,N($E$7))+MIN(M79,N($E$8))+MIN(N79,N($E$9))+MIN(O79,N($E$10)))))</f>
        <v>0</v>
      </c>
      <c r="Q79" s="43" t="n">
        <f aca="false">MAX(0,MIN(L79,$C$14-(P79)-(MIN(M79,N($E$8))+MIN(N79,N($E$9))+MIN(O79,N($E$10)))))</f>
        <v>0</v>
      </c>
      <c r="R79" s="43" t="n">
        <f aca="false">MAX(0,MIN(M79,$C$14-(P79+Q79)-(MIN(N79,N($E$9))+MIN(O79,N($E$10)))))</f>
        <v>645</v>
      </c>
      <c r="S79" s="43" t="n">
        <f aca="false">MAX(0,MIN(N79,$C$14-(P79+Q79+R79)-(MIN(O79,N($E$10)))))</f>
        <v>0</v>
      </c>
      <c r="T79" s="43" t="n">
        <f aca="false">MAX(0,MIN(O79,$C$14-(P79+Q79+R79+S79)-(0)))</f>
        <v>0</v>
      </c>
      <c r="U79" s="43" t="n">
        <f aca="false">ROUND(K79-P79,2)</f>
        <v>0</v>
      </c>
      <c r="V79" s="43" t="n">
        <f aca="false">ROUND(L79-Q79,2)</f>
        <v>0</v>
      </c>
      <c r="W79" s="43" t="n">
        <f aca="false">ROUND(M79-R79,2)</f>
        <v>4101.34</v>
      </c>
      <c r="X79" s="43" t="n">
        <f aca="false">ROUND(N79-S79,2)</f>
        <v>0</v>
      </c>
      <c r="Y79" s="43" t="n">
        <f aca="false">ROUND(O79-T79,2)</f>
        <v>0</v>
      </c>
      <c r="Z79" s="43" t="n">
        <f aca="false">SUM(U79:Y79)</f>
        <v>4101.34</v>
      </c>
    </row>
    <row r="80" customFormat="false" ht="15" hidden="false" customHeight="false" outlineLevel="0" collapsed="false">
      <c r="J80" s="42" t="n">
        <f aca="false">EDATE($C$13,39)</f>
        <v>47574</v>
      </c>
      <c r="K80" s="43" t="n">
        <f aca="false">U79*(1+N($D$6)/12)</f>
        <v>0</v>
      </c>
      <c r="L80" s="43" t="n">
        <f aca="false">V79*(1+N($D$7)/12)</f>
        <v>0</v>
      </c>
      <c r="M80" s="43" t="n">
        <f aca="false">W79*(1+N($D$8)/12)</f>
        <v>4118.42891666667</v>
      </c>
      <c r="N80" s="43" t="n">
        <f aca="false">X79*(1+N($D$9)/12)</f>
        <v>0</v>
      </c>
      <c r="O80" s="43" t="n">
        <f aca="false">Y79*(1+N($D$10)/12)</f>
        <v>0</v>
      </c>
      <c r="P80" s="43" t="n">
        <f aca="false">MAX(0,MIN(K80,$C$14-(0)-(MIN(L80,N($E$7))+MIN(M80,N($E$8))+MIN(N80,N($E$9))+MIN(O80,N($E$10)))))</f>
        <v>0</v>
      </c>
      <c r="Q80" s="43" t="n">
        <f aca="false">MAX(0,MIN(L80,$C$14-(P80)-(MIN(M80,N($E$8))+MIN(N80,N($E$9))+MIN(O80,N($E$10)))))</f>
        <v>0</v>
      </c>
      <c r="R80" s="43" t="n">
        <f aca="false">MAX(0,MIN(M80,$C$14-(P80+Q80)-(MIN(N80,N($E$9))+MIN(O80,N($E$10)))))</f>
        <v>645</v>
      </c>
      <c r="S80" s="43" t="n">
        <f aca="false">MAX(0,MIN(N80,$C$14-(P80+Q80+R80)-(MIN(O80,N($E$10)))))</f>
        <v>0</v>
      </c>
      <c r="T80" s="43" t="n">
        <f aca="false">MAX(0,MIN(O80,$C$14-(P80+Q80+R80+S80)-(0)))</f>
        <v>0</v>
      </c>
      <c r="U80" s="43" t="n">
        <f aca="false">ROUND(K80-P80,2)</f>
        <v>0</v>
      </c>
      <c r="V80" s="43" t="n">
        <f aca="false">ROUND(L80-Q80,2)</f>
        <v>0</v>
      </c>
      <c r="W80" s="43" t="n">
        <f aca="false">ROUND(M80-R80,2)</f>
        <v>3473.43</v>
      </c>
      <c r="X80" s="43" t="n">
        <f aca="false">ROUND(N80-S80,2)</f>
        <v>0</v>
      </c>
      <c r="Y80" s="43" t="n">
        <f aca="false">ROUND(O80-T80,2)</f>
        <v>0</v>
      </c>
      <c r="Z80" s="43" t="n">
        <f aca="false">SUM(U80:Y80)</f>
        <v>3473.43</v>
      </c>
    </row>
    <row r="81" customFormat="false" ht="15" hidden="false" customHeight="false" outlineLevel="0" collapsed="false">
      <c r="J81" s="42" t="n">
        <f aca="false">EDATE($C$13,40)</f>
        <v>47604</v>
      </c>
      <c r="K81" s="43" t="n">
        <f aca="false">U80*(1+N($D$6)/12)</f>
        <v>0</v>
      </c>
      <c r="L81" s="43" t="n">
        <f aca="false">V80*(1+N($D$7)/12)</f>
        <v>0</v>
      </c>
      <c r="M81" s="43" t="n">
        <f aca="false">W80*(1+N($D$8)/12)</f>
        <v>3487.902625</v>
      </c>
      <c r="N81" s="43" t="n">
        <f aca="false">X80*(1+N($D$9)/12)</f>
        <v>0</v>
      </c>
      <c r="O81" s="43" t="n">
        <f aca="false">Y80*(1+N($D$10)/12)</f>
        <v>0</v>
      </c>
      <c r="P81" s="43" t="n">
        <f aca="false">MAX(0,MIN(K81,$C$14-(0)-(MIN(L81,N($E$7))+MIN(M81,N($E$8))+MIN(N81,N($E$9))+MIN(O81,N($E$10)))))</f>
        <v>0</v>
      </c>
      <c r="Q81" s="43" t="n">
        <f aca="false">MAX(0,MIN(L81,$C$14-(P81)-(MIN(M81,N($E$8))+MIN(N81,N($E$9))+MIN(O81,N($E$10)))))</f>
        <v>0</v>
      </c>
      <c r="R81" s="43" t="n">
        <f aca="false">MAX(0,MIN(M81,$C$14-(P81+Q81)-(MIN(N81,N($E$9))+MIN(O81,N($E$10)))))</f>
        <v>645</v>
      </c>
      <c r="S81" s="43" t="n">
        <f aca="false">MAX(0,MIN(N81,$C$14-(P81+Q81+R81)-(MIN(O81,N($E$10)))))</f>
        <v>0</v>
      </c>
      <c r="T81" s="43" t="n">
        <f aca="false">MAX(0,MIN(O81,$C$14-(P81+Q81+R81+S81)-(0)))</f>
        <v>0</v>
      </c>
      <c r="U81" s="43" t="n">
        <f aca="false">ROUND(K81-P81,2)</f>
        <v>0</v>
      </c>
      <c r="V81" s="43" t="n">
        <f aca="false">ROUND(L81-Q81,2)</f>
        <v>0</v>
      </c>
      <c r="W81" s="43" t="n">
        <f aca="false">ROUND(M81-R81,2)</f>
        <v>2842.9</v>
      </c>
      <c r="X81" s="43" t="n">
        <f aca="false">ROUND(N81-S81,2)</f>
        <v>0</v>
      </c>
      <c r="Y81" s="43" t="n">
        <f aca="false">ROUND(O81-T81,2)</f>
        <v>0</v>
      </c>
      <c r="Z81" s="43" t="n">
        <f aca="false">SUM(U81:Y81)</f>
        <v>2842.9</v>
      </c>
    </row>
    <row r="82" customFormat="false" ht="15" hidden="false" customHeight="false" outlineLevel="0" collapsed="false">
      <c r="J82" s="42" t="n">
        <f aca="false">EDATE($C$13,41)</f>
        <v>47635</v>
      </c>
      <c r="K82" s="43" t="n">
        <f aca="false">U81*(1+N($D$6)/12)</f>
        <v>0</v>
      </c>
      <c r="L82" s="43" t="n">
        <f aca="false">V81*(1+N($D$7)/12)</f>
        <v>0</v>
      </c>
      <c r="M82" s="43" t="n">
        <f aca="false">W81*(1+N($D$8)/12)</f>
        <v>2854.74541666667</v>
      </c>
      <c r="N82" s="43" t="n">
        <f aca="false">X81*(1+N($D$9)/12)</f>
        <v>0</v>
      </c>
      <c r="O82" s="43" t="n">
        <f aca="false">Y81*(1+N($D$10)/12)</f>
        <v>0</v>
      </c>
      <c r="P82" s="43" t="n">
        <f aca="false">MAX(0,MIN(K82,$C$14-(0)-(MIN(L82,N($E$7))+MIN(M82,N($E$8))+MIN(N82,N($E$9))+MIN(O82,N($E$10)))))</f>
        <v>0</v>
      </c>
      <c r="Q82" s="43" t="n">
        <f aca="false">MAX(0,MIN(L82,$C$14-(P82)-(MIN(M82,N($E$8))+MIN(N82,N($E$9))+MIN(O82,N($E$10)))))</f>
        <v>0</v>
      </c>
      <c r="R82" s="43" t="n">
        <f aca="false">MAX(0,MIN(M82,$C$14-(P82+Q82)-(MIN(N82,N($E$9))+MIN(O82,N($E$10)))))</f>
        <v>645</v>
      </c>
      <c r="S82" s="43" t="n">
        <f aca="false">MAX(0,MIN(N82,$C$14-(P82+Q82+R82)-(MIN(O82,N($E$10)))))</f>
        <v>0</v>
      </c>
      <c r="T82" s="43" t="n">
        <f aca="false">MAX(0,MIN(O82,$C$14-(P82+Q82+R82+S82)-(0)))</f>
        <v>0</v>
      </c>
      <c r="U82" s="43" t="n">
        <f aca="false">ROUND(K82-P82,2)</f>
        <v>0</v>
      </c>
      <c r="V82" s="43" t="n">
        <f aca="false">ROUND(L82-Q82,2)</f>
        <v>0</v>
      </c>
      <c r="W82" s="43" t="n">
        <f aca="false">ROUND(M82-R82,2)</f>
        <v>2209.75</v>
      </c>
      <c r="X82" s="43" t="n">
        <f aca="false">ROUND(N82-S82,2)</f>
        <v>0</v>
      </c>
      <c r="Y82" s="43" t="n">
        <f aca="false">ROUND(O82-T82,2)</f>
        <v>0</v>
      </c>
      <c r="Z82" s="43" t="n">
        <f aca="false">SUM(U82:Y82)</f>
        <v>2209.75</v>
      </c>
    </row>
    <row r="83" customFormat="false" ht="15" hidden="false" customHeight="false" outlineLevel="0" collapsed="false">
      <c r="J83" s="42" t="n">
        <f aca="false">EDATE($C$13,42)</f>
        <v>47665</v>
      </c>
      <c r="K83" s="43" t="n">
        <f aca="false">U82*(1+N($D$6)/12)</f>
        <v>0</v>
      </c>
      <c r="L83" s="43" t="n">
        <f aca="false">V82*(1+N($D$7)/12)</f>
        <v>0</v>
      </c>
      <c r="M83" s="43" t="n">
        <f aca="false">W82*(1+N($D$8)/12)</f>
        <v>2218.95729166667</v>
      </c>
      <c r="N83" s="43" t="n">
        <f aca="false">X82*(1+N($D$9)/12)</f>
        <v>0</v>
      </c>
      <c r="O83" s="43" t="n">
        <f aca="false">Y82*(1+N($D$10)/12)</f>
        <v>0</v>
      </c>
      <c r="P83" s="43" t="n">
        <f aca="false">MAX(0,MIN(K83,$C$14-(0)-(MIN(L83,N($E$7))+MIN(M83,N($E$8))+MIN(N83,N($E$9))+MIN(O83,N($E$10)))))</f>
        <v>0</v>
      </c>
      <c r="Q83" s="43" t="n">
        <f aca="false">MAX(0,MIN(L83,$C$14-(P83)-(MIN(M83,N($E$8))+MIN(N83,N($E$9))+MIN(O83,N($E$10)))))</f>
        <v>0</v>
      </c>
      <c r="R83" s="43" t="n">
        <f aca="false">MAX(0,MIN(M83,$C$14-(P83+Q83)-(MIN(N83,N($E$9))+MIN(O83,N($E$10)))))</f>
        <v>645</v>
      </c>
      <c r="S83" s="43" t="n">
        <f aca="false">MAX(0,MIN(N83,$C$14-(P83+Q83+R83)-(MIN(O83,N($E$10)))))</f>
        <v>0</v>
      </c>
      <c r="T83" s="43" t="n">
        <f aca="false">MAX(0,MIN(O83,$C$14-(P83+Q83+R83+S83)-(0)))</f>
        <v>0</v>
      </c>
      <c r="U83" s="43" t="n">
        <f aca="false">ROUND(K83-P83,2)</f>
        <v>0</v>
      </c>
      <c r="V83" s="43" t="n">
        <f aca="false">ROUND(L83-Q83,2)</f>
        <v>0</v>
      </c>
      <c r="W83" s="43" t="n">
        <f aca="false">ROUND(M83-R83,2)</f>
        <v>1573.96</v>
      </c>
      <c r="X83" s="43" t="n">
        <f aca="false">ROUND(N83-S83,2)</f>
        <v>0</v>
      </c>
      <c r="Y83" s="43" t="n">
        <f aca="false">ROUND(O83-T83,2)</f>
        <v>0</v>
      </c>
      <c r="Z83" s="43" t="n">
        <f aca="false">SUM(U83:Y83)</f>
        <v>1573.96</v>
      </c>
    </row>
    <row r="84" customFormat="false" ht="15" hidden="false" customHeight="false" outlineLevel="0" collapsed="false">
      <c r="J84" s="42" t="n">
        <f aca="false">EDATE($C$13,43)</f>
        <v>47696</v>
      </c>
      <c r="K84" s="43" t="n">
        <f aca="false">U83*(1+N($D$6)/12)</f>
        <v>0</v>
      </c>
      <c r="L84" s="43" t="n">
        <f aca="false">V83*(1+N($D$7)/12)</f>
        <v>0</v>
      </c>
      <c r="M84" s="43" t="n">
        <f aca="false">W83*(1+N($D$8)/12)</f>
        <v>1580.51816666667</v>
      </c>
      <c r="N84" s="43" t="n">
        <f aca="false">X83*(1+N($D$9)/12)</f>
        <v>0</v>
      </c>
      <c r="O84" s="43" t="n">
        <f aca="false">Y83*(1+N($D$10)/12)</f>
        <v>0</v>
      </c>
      <c r="P84" s="43" t="n">
        <f aca="false">MAX(0,MIN(K84,$C$14-(0)-(MIN(L84,N($E$7))+MIN(M84,N($E$8))+MIN(N84,N($E$9))+MIN(O84,N($E$10)))))</f>
        <v>0</v>
      </c>
      <c r="Q84" s="43" t="n">
        <f aca="false">MAX(0,MIN(L84,$C$14-(P84)-(MIN(M84,N($E$8))+MIN(N84,N($E$9))+MIN(O84,N($E$10)))))</f>
        <v>0</v>
      </c>
      <c r="R84" s="43" t="n">
        <f aca="false">MAX(0,MIN(M84,$C$14-(P84+Q84)-(MIN(N84,N($E$9))+MIN(O84,N($E$10)))))</f>
        <v>645</v>
      </c>
      <c r="S84" s="43" t="n">
        <f aca="false">MAX(0,MIN(N84,$C$14-(P84+Q84+R84)-(MIN(O84,N($E$10)))))</f>
        <v>0</v>
      </c>
      <c r="T84" s="43" t="n">
        <f aca="false">MAX(0,MIN(O84,$C$14-(P84+Q84+R84+S84)-(0)))</f>
        <v>0</v>
      </c>
      <c r="U84" s="43" t="n">
        <f aca="false">ROUND(K84-P84,2)</f>
        <v>0</v>
      </c>
      <c r="V84" s="43" t="n">
        <f aca="false">ROUND(L84-Q84,2)</f>
        <v>0</v>
      </c>
      <c r="W84" s="43" t="n">
        <f aca="false">ROUND(M84-R84,2)</f>
        <v>935.52</v>
      </c>
      <c r="X84" s="43" t="n">
        <f aca="false">ROUND(N84-S84,2)</f>
        <v>0</v>
      </c>
      <c r="Y84" s="43" t="n">
        <f aca="false">ROUND(O84-T84,2)</f>
        <v>0</v>
      </c>
      <c r="Z84" s="43" t="n">
        <f aca="false">SUM(U84:Y84)</f>
        <v>935.52</v>
      </c>
    </row>
    <row r="85" customFormat="false" ht="15" hidden="false" customHeight="false" outlineLevel="0" collapsed="false">
      <c r="J85" s="42" t="n">
        <f aca="false">EDATE($C$13,44)</f>
        <v>47727</v>
      </c>
      <c r="K85" s="43" t="n">
        <f aca="false">U84*(1+N($D$6)/12)</f>
        <v>0</v>
      </c>
      <c r="L85" s="43" t="n">
        <f aca="false">V84*(1+N($D$7)/12)</f>
        <v>0</v>
      </c>
      <c r="M85" s="43" t="n">
        <f aca="false">W84*(1+N($D$8)/12)</f>
        <v>939.418</v>
      </c>
      <c r="N85" s="43" t="n">
        <f aca="false">X84*(1+N($D$9)/12)</f>
        <v>0</v>
      </c>
      <c r="O85" s="43" t="n">
        <f aca="false">Y84*(1+N($D$10)/12)</f>
        <v>0</v>
      </c>
      <c r="P85" s="43" t="n">
        <f aca="false">MAX(0,MIN(K85,$C$14-(0)-(MIN(L85,N($E$7))+MIN(M85,N($E$8))+MIN(N85,N($E$9))+MIN(O85,N($E$10)))))</f>
        <v>0</v>
      </c>
      <c r="Q85" s="43" t="n">
        <f aca="false">MAX(0,MIN(L85,$C$14-(P85)-(MIN(M85,N($E$8))+MIN(N85,N($E$9))+MIN(O85,N($E$10)))))</f>
        <v>0</v>
      </c>
      <c r="R85" s="43" t="n">
        <f aca="false">MAX(0,MIN(M85,$C$14-(P85+Q85)-(MIN(N85,N($E$9))+MIN(O85,N($E$10)))))</f>
        <v>645</v>
      </c>
      <c r="S85" s="43" t="n">
        <f aca="false">MAX(0,MIN(N85,$C$14-(P85+Q85+R85)-(MIN(O85,N($E$10)))))</f>
        <v>0</v>
      </c>
      <c r="T85" s="43" t="n">
        <f aca="false">MAX(0,MIN(O85,$C$14-(P85+Q85+R85+S85)-(0)))</f>
        <v>0</v>
      </c>
      <c r="U85" s="43" t="n">
        <f aca="false">ROUND(K85-P85,2)</f>
        <v>0</v>
      </c>
      <c r="V85" s="43" t="n">
        <f aca="false">ROUND(L85-Q85,2)</f>
        <v>0</v>
      </c>
      <c r="W85" s="43" t="n">
        <f aca="false">ROUND(M85-R85,2)</f>
        <v>294.42</v>
      </c>
      <c r="X85" s="43" t="n">
        <f aca="false">ROUND(N85-S85,2)</f>
        <v>0</v>
      </c>
      <c r="Y85" s="43" t="n">
        <f aca="false">ROUND(O85-T85,2)</f>
        <v>0</v>
      </c>
      <c r="Z85" s="43" t="n">
        <f aca="false">SUM(U85:Y85)</f>
        <v>294.42</v>
      </c>
    </row>
    <row r="86" customFormat="false" ht="15" hidden="false" customHeight="false" outlineLevel="0" collapsed="false">
      <c r="J86" s="42" t="n">
        <f aca="false">EDATE($C$13,45)</f>
        <v>47757</v>
      </c>
      <c r="K86" s="43" t="n">
        <f aca="false">U85*(1+N($D$6)/12)</f>
        <v>0</v>
      </c>
      <c r="L86" s="43" t="n">
        <f aca="false">V85*(1+N($D$7)/12)</f>
        <v>0</v>
      </c>
      <c r="M86" s="43" t="n">
        <f aca="false">W85*(1+N($D$8)/12)</f>
        <v>295.64675</v>
      </c>
      <c r="N86" s="43" t="n">
        <f aca="false">X85*(1+N($D$9)/12)</f>
        <v>0</v>
      </c>
      <c r="O86" s="43" t="n">
        <f aca="false">Y85*(1+N($D$10)/12)</f>
        <v>0</v>
      </c>
      <c r="P86" s="43" t="n">
        <f aca="false">MAX(0,MIN(K86,$C$14-(0)-(MIN(L86,N($E$7))+MIN(M86,N($E$8))+MIN(N86,N($E$9))+MIN(O86,N($E$10)))))</f>
        <v>0</v>
      </c>
      <c r="Q86" s="43" t="n">
        <f aca="false">MAX(0,MIN(L86,$C$14-(P86)-(MIN(M86,N($E$8))+MIN(N86,N($E$9))+MIN(O86,N($E$10)))))</f>
        <v>0</v>
      </c>
      <c r="R86" s="43" t="n">
        <f aca="false">MAX(0,MIN(M86,$C$14-(P86+Q86)-(MIN(N86,N($E$9))+MIN(O86,N($E$10)))))</f>
        <v>295.64675</v>
      </c>
      <c r="S86" s="43" t="n">
        <f aca="false">MAX(0,MIN(N86,$C$14-(P86+Q86+R86)-(MIN(O86,N($E$10)))))</f>
        <v>0</v>
      </c>
      <c r="T86" s="43" t="n">
        <f aca="false">MAX(0,MIN(O86,$C$14-(P86+Q86+R86+S86)-(0)))</f>
        <v>0</v>
      </c>
      <c r="U86" s="43" t="n">
        <f aca="false">ROUND(K86-P86,2)</f>
        <v>0</v>
      </c>
      <c r="V86" s="43" t="n">
        <f aca="false">ROUND(L86-Q86,2)</f>
        <v>0</v>
      </c>
      <c r="W86" s="43" t="n">
        <f aca="false">ROUND(M86-R86,2)</f>
        <v>0</v>
      </c>
      <c r="X86" s="43" t="n">
        <f aca="false">ROUND(N86-S86,2)</f>
        <v>0</v>
      </c>
      <c r="Y86" s="43" t="n">
        <f aca="false">ROUND(O86-T86,2)</f>
        <v>0</v>
      </c>
      <c r="Z86" s="43" t="n">
        <f aca="false">SUM(U86:Y86)</f>
        <v>0</v>
      </c>
    </row>
    <row r="87" customFormat="false" ht="15" hidden="false" customHeight="false" outlineLevel="0" collapsed="false">
      <c r="J87" s="42" t="n">
        <f aca="false">EDATE($C$13,46)</f>
        <v>47788</v>
      </c>
      <c r="K87" s="43" t="n">
        <f aca="false">U86*(1+N($D$6)/12)</f>
        <v>0</v>
      </c>
      <c r="L87" s="43" t="n">
        <f aca="false">V86*(1+N($D$7)/12)</f>
        <v>0</v>
      </c>
      <c r="M87" s="43" t="n">
        <f aca="false">W86*(1+N($D$8)/12)</f>
        <v>0</v>
      </c>
      <c r="N87" s="43" t="n">
        <f aca="false">X86*(1+N($D$9)/12)</f>
        <v>0</v>
      </c>
      <c r="O87" s="43" t="n">
        <f aca="false">Y86*(1+N($D$10)/12)</f>
        <v>0</v>
      </c>
      <c r="P87" s="43" t="n">
        <f aca="false">MAX(0,MIN(K87,$C$14-(0)-(MIN(L87,N($E$7))+MIN(M87,N($E$8))+MIN(N87,N($E$9))+MIN(O87,N($E$10)))))</f>
        <v>0</v>
      </c>
      <c r="Q87" s="43" t="n">
        <f aca="false">MAX(0,MIN(L87,$C$14-(P87)-(MIN(M87,N($E$8))+MIN(N87,N($E$9))+MIN(O87,N($E$10)))))</f>
        <v>0</v>
      </c>
      <c r="R87" s="43" t="n">
        <f aca="false">MAX(0,MIN(M87,$C$14-(P87+Q87)-(MIN(N87,N($E$9))+MIN(O87,N($E$10)))))</f>
        <v>0</v>
      </c>
      <c r="S87" s="43" t="n">
        <f aca="false">MAX(0,MIN(N87,$C$14-(P87+Q87+R87)-(MIN(O87,N($E$10)))))</f>
        <v>0</v>
      </c>
      <c r="T87" s="43" t="n">
        <f aca="false">MAX(0,MIN(O87,$C$14-(P87+Q87+R87+S87)-(0)))</f>
        <v>0</v>
      </c>
      <c r="U87" s="43" t="n">
        <f aca="false">ROUND(K87-P87,2)</f>
        <v>0</v>
      </c>
      <c r="V87" s="43" t="n">
        <f aca="false">ROUND(L87-Q87,2)</f>
        <v>0</v>
      </c>
      <c r="W87" s="43" t="n">
        <f aca="false">ROUND(M87-R87,2)</f>
        <v>0</v>
      </c>
      <c r="X87" s="43" t="n">
        <f aca="false">ROUND(N87-S87,2)</f>
        <v>0</v>
      </c>
      <c r="Y87" s="43" t="n">
        <f aca="false">ROUND(O87-T87,2)</f>
        <v>0</v>
      </c>
      <c r="Z87" s="43" t="n">
        <f aca="false">SUM(U87:Y87)</f>
        <v>0</v>
      </c>
    </row>
    <row r="88" customFormat="false" ht="15" hidden="false" customHeight="false" outlineLevel="0" collapsed="false">
      <c r="J88" s="42" t="n">
        <f aca="false">EDATE($C$13,47)</f>
        <v>47818</v>
      </c>
      <c r="K88" s="43" t="n">
        <f aca="false">U87*(1+N($D$6)/12)</f>
        <v>0</v>
      </c>
      <c r="L88" s="43" t="n">
        <f aca="false">V87*(1+N($D$7)/12)</f>
        <v>0</v>
      </c>
      <c r="M88" s="43" t="n">
        <f aca="false">W87*(1+N($D$8)/12)</f>
        <v>0</v>
      </c>
      <c r="N88" s="43" t="n">
        <f aca="false">X87*(1+N($D$9)/12)</f>
        <v>0</v>
      </c>
      <c r="O88" s="43" t="n">
        <f aca="false">Y87*(1+N($D$10)/12)</f>
        <v>0</v>
      </c>
      <c r="P88" s="43" t="n">
        <f aca="false">MAX(0,MIN(K88,$C$14-(0)-(MIN(L88,N($E$7))+MIN(M88,N($E$8))+MIN(N88,N($E$9))+MIN(O88,N($E$10)))))</f>
        <v>0</v>
      </c>
      <c r="Q88" s="43" t="n">
        <f aca="false">MAX(0,MIN(L88,$C$14-(P88)-(MIN(M88,N($E$8))+MIN(N88,N($E$9))+MIN(O88,N($E$10)))))</f>
        <v>0</v>
      </c>
      <c r="R88" s="43" t="n">
        <f aca="false">MAX(0,MIN(M88,$C$14-(P88+Q88)-(MIN(N88,N($E$9))+MIN(O88,N($E$10)))))</f>
        <v>0</v>
      </c>
      <c r="S88" s="43" t="n">
        <f aca="false">MAX(0,MIN(N88,$C$14-(P88+Q88+R88)-(MIN(O88,N($E$10)))))</f>
        <v>0</v>
      </c>
      <c r="T88" s="43" t="n">
        <f aca="false">MAX(0,MIN(O88,$C$14-(P88+Q88+R88+S88)-(0)))</f>
        <v>0</v>
      </c>
      <c r="U88" s="43" t="n">
        <f aca="false">ROUND(K88-P88,2)</f>
        <v>0</v>
      </c>
      <c r="V88" s="43" t="n">
        <f aca="false">ROUND(L88-Q88,2)</f>
        <v>0</v>
      </c>
      <c r="W88" s="43" t="n">
        <f aca="false">ROUND(M88-R88,2)</f>
        <v>0</v>
      </c>
      <c r="X88" s="43" t="n">
        <f aca="false">ROUND(N88-S88,2)</f>
        <v>0</v>
      </c>
      <c r="Y88" s="43" t="n">
        <f aca="false">ROUND(O88-T88,2)</f>
        <v>0</v>
      </c>
      <c r="Z88" s="43" t="n">
        <f aca="false">SUM(U88:Y88)</f>
        <v>0</v>
      </c>
    </row>
    <row r="89" customFormat="false" ht="15" hidden="false" customHeight="false" outlineLevel="0" collapsed="false">
      <c r="J89" s="42" t="n">
        <f aca="false">EDATE($C$13,48)</f>
        <v>47849</v>
      </c>
      <c r="K89" s="43" t="n">
        <f aca="false">U88*(1+N($D$6)/12)</f>
        <v>0</v>
      </c>
      <c r="L89" s="43" t="n">
        <f aca="false">V88*(1+N($D$7)/12)</f>
        <v>0</v>
      </c>
      <c r="M89" s="43" t="n">
        <f aca="false">W88*(1+N($D$8)/12)</f>
        <v>0</v>
      </c>
      <c r="N89" s="43" t="n">
        <f aca="false">X88*(1+N($D$9)/12)</f>
        <v>0</v>
      </c>
      <c r="O89" s="43" t="n">
        <f aca="false">Y88*(1+N($D$10)/12)</f>
        <v>0</v>
      </c>
      <c r="P89" s="43" t="n">
        <f aca="false">MAX(0,MIN(K89,$C$14-(0)-(MIN(L89,N($E$7))+MIN(M89,N($E$8))+MIN(N89,N($E$9))+MIN(O89,N($E$10)))))</f>
        <v>0</v>
      </c>
      <c r="Q89" s="43" t="n">
        <f aca="false">MAX(0,MIN(L89,$C$14-(P89)-(MIN(M89,N($E$8))+MIN(N89,N($E$9))+MIN(O89,N($E$10)))))</f>
        <v>0</v>
      </c>
      <c r="R89" s="43" t="n">
        <f aca="false">MAX(0,MIN(M89,$C$14-(P89+Q89)-(MIN(N89,N($E$9))+MIN(O89,N($E$10)))))</f>
        <v>0</v>
      </c>
      <c r="S89" s="43" t="n">
        <f aca="false">MAX(0,MIN(N89,$C$14-(P89+Q89+R89)-(MIN(O89,N($E$10)))))</f>
        <v>0</v>
      </c>
      <c r="T89" s="43" t="n">
        <f aca="false">MAX(0,MIN(O89,$C$14-(P89+Q89+R89+S89)-(0)))</f>
        <v>0</v>
      </c>
      <c r="U89" s="43" t="n">
        <f aca="false">ROUND(K89-P89,2)</f>
        <v>0</v>
      </c>
      <c r="V89" s="43" t="n">
        <f aca="false">ROUND(L89-Q89,2)</f>
        <v>0</v>
      </c>
      <c r="W89" s="43" t="n">
        <f aca="false">ROUND(M89-R89,2)</f>
        <v>0</v>
      </c>
      <c r="X89" s="43" t="n">
        <f aca="false">ROUND(N89-S89,2)</f>
        <v>0</v>
      </c>
      <c r="Y89" s="43" t="n">
        <f aca="false">ROUND(O89-T89,2)</f>
        <v>0</v>
      </c>
      <c r="Z89" s="43" t="n">
        <f aca="false">SUM(U89:Y89)</f>
        <v>0</v>
      </c>
    </row>
    <row r="90" customFormat="false" ht="15" hidden="false" customHeight="false" outlineLevel="0" collapsed="false">
      <c r="J90" s="42" t="n">
        <f aca="false">EDATE($C$13,49)</f>
        <v>47880</v>
      </c>
      <c r="K90" s="43" t="n">
        <f aca="false">U89*(1+N($D$6)/12)</f>
        <v>0</v>
      </c>
      <c r="L90" s="43" t="n">
        <f aca="false">V89*(1+N($D$7)/12)</f>
        <v>0</v>
      </c>
      <c r="M90" s="43" t="n">
        <f aca="false">W89*(1+N($D$8)/12)</f>
        <v>0</v>
      </c>
      <c r="N90" s="43" t="n">
        <f aca="false">X89*(1+N($D$9)/12)</f>
        <v>0</v>
      </c>
      <c r="O90" s="43" t="n">
        <f aca="false">Y89*(1+N($D$10)/12)</f>
        <v>0</v>
      </c>
      <c r="P90" s="43" t="n">
        <f aca="false">MAX(0,MIN(K90,$C$14-(0)-(MIN(L90,N($E$7))+MIN(M90,N($E$8))+MIN(N90,N($E$9))+MIN(O90,N($E$10)))))</f>
        <v>0</v>
      </c>
      <c r="Q90" s="43" t="n">
        <f aca="false">MAX(0,MIN(L90,$C$14-(P90)-(MIN(M90,N($E$8))+MIN(N90,N($E$9))+MIN(O90,N($E$10)))))</f>
        <v>0</v>
      </c>
      <c r="R90" s="43" t="n">
        <f aca="false">MAX(0,MIN(M90,$C$14-(P90+Q90)-(MIN(N90,N($E$9))+MIN(O90,N($E$10)))))</f>
        <v>0</v>
      </c>
      <c r="S90" s="43" t="n">
        <f aca="false">MAX(0,MIN(N90,$C$14-(P90+Q90+R90)-(MIN(O90,N($E$10)))))</f>
        <v>0</v>
      </c>
      <c r="T90" s="43" t="n">
        <f aca="false">MAX(0,MIN(O90,$C$14-(P90+Q90+R90+S90)-(0)))</f>
        <v>0</v>
      </c>
      <c r="U90" s="43" t="n">
        <f aca="false">ROUND(K90-P90,2)</f>
        <v>0</v>
      </c>
      <c r="V90" s="43" t="n">
        <f aca="false">ROUND(L90-Q90,2)</f>
        <v>0</v>
      </c>
      <c r="W90" s="43" t="n">
        <f aca="false">ROUND(M90-R90,2)</f>
        <v>0</v>
      </c>
      <c r="X90" s="43" t="n">
        <f aca="false">ROUND(N90-S90,2)</f>
        <v>0</v>
      </c>
      <c r="Y90" s="43" t="n">
        <f aca="false">ROUND(O90-T90,2)</f>
        <v>0</v>
      </c>
      <c r="Z90" s="43" t="n">
        <f aca="false">SUM(U90:Y90)</f>
        <v>0</v>
      </c>
    </row>
    <row r="91" customFormat="false" ht="15" hidden="false" customHeight="false" outlineLevel="0" collapsed="false">
      <c r="J91" s="42" t="n">
        <f aca="false">EDATE($C$13,50)</f>
        <v>47908</v>
      </c>
      <c r="K91" s="43" t="n">
        <f aca="false">U90*(1+N($D$6)/12)</f>
        <v>0</v>
      </c>
      <c r="L91" s="43" t="n">
        <f aca="false">V90*(1+N($D$7)/12)</f>
        <v>0</v>
      </c>
      <c r="M91" s="43" t="n">
        <f aca="false">W90*(1+N($D$8)/12)</f>
        <v>0</v>
      </c>
      <c r="N91" s="43" t="n">
        <f aca="false">X90*(1+N($D$9)/12)</f>
        <v>0</v>
      </c>
      <c r="O91" s="43" t="n">
        <f aca="false">Y90*(1+N($D$10)/12)</f>
        <v>0</v>
      </c>
      <c r="P91" s="43" t="n">
        <f aca="false">MAX(0,MIN(K91,$C$14-(0)-(MIN(L91,N($E$7))+MIN(M91,N($E$8))+MIN(N91,N($E$9))+MIN(O91,N($E$10)))))</f>
        <v>0</v>
      </c>
      <c r="Q91" s="43" t="n">
        <f aca="false">MAX(0,MIN(L91,$C$14-(P91)-(MIN(M91,N($E$8))+MIN(N91,N($E$9))+MIN(O91,N($E$10)))))</f>
        <v>0</v>
      </c>
      <c r="R91" s="43" t="n">
        <f aca="false">MAX(0,MIN(M91,$C$14-(P91+Q91)-(MIN(N91,N($E$9))+MIN(O91,N($E$10)))))</f>
        <v>0</v>
      </c>
      <c r="S91" s="43" t="n">
        <f aca="false">MAX(0,MIN(N91,$C$14-(P91+Q91+R91)-(MIN(O91,N($E$10)))))</f>
        <v>0</v>
      </c>
      <c r="T91" s="43" t="n">
        <f aca="false">MAX(0,MIN(O91,$C$14-(P91+Q91+R91+S91)-(0)))</f>
        <v>0</v>
      </c>
      <c r="U91" s="43" t="n">
        <f aca="false">ROUND(K91-P91,2)</f>
        <v>0</v>
      </c>
      <c r="V91" s="43" t="n">
        <f aca="false">ROUND(L91-Q91,2)</f>
        <v>0</v>
      </c>
      <c r="W91" s="43" t="n">
        <f aca="false">ROUND(M91-R91,2)</f>
        <v>0</v>
      </c>
      <c r="X91" s="43" t="n">
        <f aca="false">ROUND(N91-S91,2)</f>
        <v>0</v>
      </c>
      <c r="Y91" s="43" t="n">
        <f aca="false">ROUND(O91-T91,2)</f>
        <v>0</v>
      </c>
      <c r="Z91" s="43" t="n">
        <f aca="false">SUM(U91:Y91)</f>
        <v>0</v>
      </c>
    </row>
    <row r="92" customFormat="false" ht="15" hidden="false" customHeight="false" outlineLevel="0" collapsed="false">
      <c r="J92" s="42" t="n">
        <f aca="false">EDATE($C$13,51)</f>
        <v>47939</v>
      </c>
      <c r="K92" s="43" t="n">
        <f aca="false">U91*(1+N($D$6)/12)</f>
        <v>0</v>
      </c>
      <c r="L92" s="43" t="n">
        <f aca="false">V91*(1+N($D$7)/12)</f>
        <v>0</v>
      </c>
      <c r="M92" s="43" t="n">
        <f aca="false">W91*(1+N($D$8)/12)</f>
        <v>0</v>
      </c>
      <c r="N92" s="43" t="n">
        <f aca="false">X91*(1+N($D$9)/12)</f>
        <v>0</v>
      </c>
      <c r="O92" s="43" t="n">
        <f aca="false">Y91*(1+N($D$10)/12)</f>
        <v>0</v>
      </c>
      <c r="P92" s="43" t="n">
        <f aca="false">MAX(0,MIN(K92,$C$14-(0)-(MIN(L92,N($E$7))+MIN(M92,N($E$8))+MIN(N92,N($E$9))+MIN(O92,N($E$10)))))</f>
        <v>0</v>
      </c>
      <c r="Q92" s="43" t="n">
        <f aca="false">MAX(0,MIN(L92,$C$14-(P92)-(MIN(M92,N($E$8))+MIN(N92,N($E$9))+MIN(O92,N($E$10)))))</f>
        <v>0</v>
      </c>
      <c r="R92" s="43" t="n">
        <f aca="false">MAX(0,MIN(M92,$C$14-(P92+Q92)-(MIN(N92,N($E$9))+MIN(O92,N($E$10)))))</f>
        <v>0</v>
      </c>
      <c r="S92" s="43" t="n">
        <f aca="false">MAX(0,MIN(N92,$C$14-(P92+Q92+R92)-(MIN(O92,N($E$10)))))</f>
        <v>0</v>
      </c>
      <c r="T92" s="43" t="n">
        <f aca="false">MAX(0,MIN(O92,$C$14-(P92+Q92+R92+S92)-(0)))</f>
        <v>0</v>
      </c>
      <c r="U92" s="43" t="n">
        <f aca="false">ROUND(K92-P92,2)</f>
        <v>0</v>
      </c>
      <c r="V92" s="43" t="n">
        <f aca="false">ROUND(L92-Q92,2)</f>
        <v>0</v>
      </c>
      <c r="W92" s="43" t="n">
        <f aca="false">ROUND(M92-R92,2)</f>
        <v>0</v>
      </c>
      <c r="X92" s="43" t="n">
        <f aca="false">ROUND(N92-S92,2)</f>
        <v>0</v>
      </c>
      <c r="Y92" s="43" t="n">
        <f aca="false">ROUND(O92-T92,2)</f>
        <v>0</v>
      </c>
      <c r="Z92" s="43" t="n">
        <f aca="false">SUM(U92:Y92)</f>
        <v>0</v>
      </c>
    </row>
    <row r="93" customFormat="false" ht="15" hidden="false" customHeight="false" outlineLevel="0" collapsed="false">
      <c r="J93" s="42" t="n">
        <f aca="false">EDATE($C$13,52)</f>
        <v>47969</v>
      </c>
      <c r="K93" s="43" t="n">
        <f aca="false">U92*(1+N($D$6)/12)</f>
        <v>0</v>
      </c>
      <c r="L93" s="43" t="n">
        <f aca="false">V92*(1+N($D$7)/12)</f>
        <v>0</v>
      </c>
      <c r="M93" s="43" t="n">
        <f aca="false">W92*(1+N($D$8)/12)</f>
        <v>0</v>
      </c>
      <c r="N93" s="43" t="n">
        <f aca="false">X92*(1+N($D$9)/12)</f>
        <v>0</v>
      </c>
      <c r="O93" s="43" t="n">
        <f aca="false">Y92*(1+N($D$10)/12)</f>
        <v>0</v>
      </c>
      <c r="P93" s="43" t="n">
        <f aca="false">MAX(0,MIN(K93,$C$14-(0)-(MIN(L93,N($E$7))+MIN(M93,N($E$8))+MIN(N93,N($E$9))+MIN(O93,N($E$10)))))</f>
        <v>0</v>
      </c>
      <c r="Q93" s="43" t="n">
        <f aca="false">MAX(0,MIN(L93,$C$14-(P93)-(MIN(M93,N($E$8))+MIN(N93,N($E$9))+MIN(O93,N($E$10)))))</f>
        <v>0</v>
      </c>
      <c r="R93" s="43" t="n">
        <f aca="false">MAX(0,MIN(M93,$C$14-(P93+Q93)-(MIN(N93,N($E$9))+MIN(O93,N($E$10)))))</f>
        <v>0</v>
      </c>
      <c r="S93" s="43" t="n">
        <f aca="false">MAX(0,MIN(N93,$C$14-(P93+Q93+R93)-(MIN(O93,N($E$10)))))</f>
        <v>0</v>
      </c>
      <c r="T93" s="43" t="n">
        <f aca="false">MAX(0,MIN(O93,$C$14-(P93+Q93+R93+S93)-(0)))</f>
        <v>0</v>
      </c>
      <c r="U93" s="43" t="n">
        <f aca="false">ROUND(K93-P93,2)</f>
        <v>0</v>
      </c>
      <c r="V93" s="43" t="n">
        <f aca="false">ROUND(L93-Q93,2)</f>
        <v>0</v>
      </c>
      <c r="W93" s="43" t="n">
        <f aca="false">ROUND(M93-R93,2)</f>
        <v>0</v>
      </c>
      <c r="X93" s="43" t="n">
        <f aca="false">ROUND(N93-S93,2)</f>
        <v>0</v>
      </c>
      <c r="Y93" s="43" t="n">
        <f aca="false">ROUND(O93-T93,2)</f>
        <v>0</v>
      </c>
      <c r="Z93" s="43" t="n">
        <f aca="false">SUM(U93:Y93)</f>
        <v>0</v>
      </c>
    </row>
    <row r="94" customFormat="false" ht="15" hidden="false" customHeight="false" outlineLevel="0" collapsed="false">
      <c r="J94" s="42" t="n">
        <f aca="false">EDATE($C$13,53)</f>
        <v>48000</v>
      </c>
      <c r="K94" s="43" t="n">
        <f aca="false">U93*(1+N($D$6)/12)</f>
        <v>0</v>
      </c>
      <c r="L94" s="43" t="n">
        <f aca="false">V93*(1+N($D$7)/12)</f>
        <v>0</v>
      </c>
      <c r="M94" s="43" t="n">
        <f aca="false">W93*(1+N($D$8)/12)</f>
        <v>0</v>
      </c>
      <c r="N94" s="43" t="n">
        <f aca="false">X93*(1+N($D$9)/12)</f>
        <v>0</v>
      </c>
      <c r="O94" s="43" t="n">
        <f aca="false">Y93*(1+N($D$10)/12)</f>
        <v>0</v>
      </c>
      <c r="P94" s="43" t="n">
        <f aca="false">MAX(0,MIN(K94,$C$14-(0)-(MIN(L94,N($E$7))+MIN(M94,N($E$8))+MIN(N94,N($E$9))+MIN(O94,N($E$10)))))</f>
        <v>0</v>
      </c>
      <c r="Q94" s="43" t="n">
        <f aca="false">MAX(0,MIN(L94,$C$14-(P94)-(MIN(M94,N($E$8))+MIN(N94,N($E$9))+MIN(O94,N($E$10)))))</f>
        <v>0</v>
      </c>
      <c r="R94" s="43" t="n">
        <f aca="false">MAX(0,MIN(M94,$C$14-(P94+Q94)-(MIN(N94,N($E$9))+MIN(O94,N($E$10)))))</f>
        <v>0</v>
      </c>
      <c r="S94" s="43" t="n">
        <f aca="false">MAX(0,MIN(N94,$C$14-(P94+Q94+R94)-(MIN(O94,N($E$10)))))</f>
        <v>0</v>
      </c>
      <c r="T94" s="43" t="n">
        <f aca="false">MAX(0,MIN(O94,$C$14-(P94+Q94+R94+S94)-(0)))</f>
        <v>0</v>
      </c>
      <c r="U94" s="43" t="n">
        <f aca="false">ROUND(K94-P94,2)</f>
        <v>0</v>
      </c>
      <c r="V94" s="43" t="n">
        <f aca="false">ROUND(L94-Q94,2)</f>
        <v>0</v>
      </c>
      <c r="W94" s="43" t="n">
        <f aca="false">ROUND(M94-R94,2)</f>
        <v>0</v>
      </c>
      <c r="X94" s="43" t="n">
        <f aca="false">ROUND(N94-S94,2)</f>
        <v>0</v>
      </c>
      <c r="Y94" s="43" t="n">
        <f aca="false">ROUND(O94-T94,2)</f>
        <v>0</v>
      </c>
      <c r="Z94" s="43" t="n">
        <f aca="false">SUM(U94:Y94)</f>
        <v>0</v>
      </c>
    </row>
    <row r="95" customFormat="false" ht="15" hidden="false" customHeight="false" outlineLevel="0" collapsed="false">
      <c r="J95" s="42" t="n">
        <f aca="false">EDATE($C$13,54)</f>
        <v>48030</v>
      </c>
      <c r="K95" s="43" t="n">
        <f aca="false">U94*(1+N($D$6)/12)</f>
        <v>0</v>
      </c>
      <c r="L95" s="43" t="n">
        <f aca="false">V94*(1+N($D$7)/12)</f>
        <v>0</v>
      </c>
      <c r="M95" s="43" t="n">
        <f aca="false">W94*(1+N($D$8)/12)</f>
        <v>0</v>
      </c>
      <c r="N95" s="43" t="n">
        <f aca="false">X94*(1+N($D$9)/12)</f>
        <v>0</v>
      </c>
      <c r="O95" s="43" t="n">
        <f aca="false">Y94*(1+N($D$10)/12)</f>
        <v>0</v>
      </c>
      <c r="P95" s="43" t="n">
        <f aca="false">MAX(0,MIN(K95,$C$14-(0)-(MIN(L95,N($E$7))+MIN(M95,N($E$8))+MIN(N95,N($E$9))+MIN(O95,N($E$10)))))</f>
        <v>0</v>
      </c>
      <c r="Q95" s="43" t="n">
        <f aca="false">MAX(0,MIN(L95,$C$14-(P95)-(MIN(M95,N($E$8))+MIN(N95,N($E$9))+MIN(O95,N($E$10)))))</f>
        <v>0</v>
      </c>
      <c r="R95" s="43" t="n">
        <f aca="false">MAX(0,MIN(M95,$C$14-(P95+Q95)-(MIN(N95,N($E$9))+MIN(O95,N($E$10)))))</f>
        <v>0</v>
      </c>
      <c r="S95" s="43" t="n">
        <f aca="false">MAX(0,MIN(N95,$C$14-(P95+Q95+R95)-(MIN(O95,N($E$10)))))</f>
        <v>0</v>
      </c>
      <c r="T95" s="43" t="n">
        <f aca="false">MAX(0,MIN(O95,$C$14-(P95+Q95+R95+S95)-(0)))</f>
        <v>0</v>
      </c>
      <c r="U95" s="43" t="n">
        <f aca="false">ROUND(K95-P95,2)</f>
        <v>0</v>
      </c>
      <c r="V95" s="43" t="n">
        <f aca="false">ROUND(L95-Q95,2)</f>
        <v>0</v>
      </c>
      <c r="W95" s="43" t="n">
        <f aca="false">ROUND(M95-R95,2)</f>
        <v>0</v>
      </c>
      <c r="X95" s="43" t="n">
        <f aca="false">ROUND(N95-S95,2)</f>
        <v>0</v>
      </c>
      <c r="Y95" s="43" t="n">
        <f aca="false">ROUND(O95-T95,2)</f>
        <v>0</v>
      </c>
      <c r="Z95" s="43" t="n">
        <f aca="false">SUM(U95:Y95)</f>
        <v>0</v>
      </c>
    </row>
    <row r="96" customFormat="false" ht="15" hidden="false" customHeight="false" outlineLevel="0" collapsed="false">
      <c r="J96" s="42" t="n">
        <f aca="false">EDATE($C$13,55)</f>
        <v>48061</v>
      </c>
      <c r="K96" s="43" t="n">
        <f aca="false">U95*(1+N($D$6)/12)</f>
        <v>0</v>
      </c>
      <c r="L96" s="43" t="n">
        <f aca="false">V95*(1+N($D$7)/12)</f>
        <v>0</v>
      </c>
      <c r="M96" s="43" t="n">
        <f aca="false">W95*(1+N($D$8)/12)</f>
        <v>0</v>
      </c>
      <c r="N96" s="43" t="n">
        <f aca="false">X95*(1+N($D$9)/12)</f>
        <v>0</v>
      </c>
      <c r="O96" s="43" t="n">
        <f aca="false">Y95*(1+N($D$10)/12)</f>
        <v>0</v>
      </c>
      <c r="P96" s="43" t="n">
        <f aca="false">MAX(0,MIN(K96,$C$14-(0)-(MIN(L96,N($E$7))+MIN(M96,N($E$8))+MIN(N96,N($E$9))+MIN(O96,N($E$10)))))</f>
        <v>0</v>
      </c>
      <c r="Q96" s="43" t="n">
        <f aca="false">MAX(0,MIN(L96,$C$14-(P96)-(MIN(M96,N($E$8))+MIN(N96,N($E$9))+MIN(O96,N($E$10)))))</f>
        <v>0</v>
      </c>
      <c r="R96" s="43" t="n">
        <f aca="false">MAX(0,MIN(M96,$C$14-(P96+Q96)-(MIN(N96,N($E$9))+MIN(O96,N($E$10)))))</f>
        <v>0</v>
      </c>
      <c r="S96" s="43" t="n">
        <f aca="false">MAX(0,MIN(N96,$C$14-(P96+Q96+R96)-(MIN(O96,N($E$10)))))</f>
        <v>0</v>
      </c>
      <c r="T96" s="43" t="n">
        <f aca="false">MAX(0,MIN(O96,$C$14-(P96+Q96+R96+S96)-(0)))</f>
        <v>0</v>
      </c>
      <c r="U96" s="43" t="n">
        <f aca="false">ROUND(K96-P96,2)</f>
        <v>0</v>
      </c>
      <c r="V96" s="43" t="n">
        <f aca="false">ROUND(L96-Q96,2)</f>
        <v>0</v>
      </c>
      <c r="W96" s="43" t="n">
        <f aca="false">ROUND(M96-R96,2)</f>
        <v>0</v>
      </c>
      <c r="X96" s="43" t="n">
        <f aca="false">ROUND(N96-S96,2)</f>
        <v>0</v>
      </c>
      <c r="Y96" s="43" t="n">
        <f aca="false">ROUND(O96-T96,2)</f>
        <v>0</v>
      </c>
      <c r="Z96" s="43" t="n">
        <f aca="false">SUM(U96:Y96)</f>
        <v>0</v>
      </c>
    </row>
    <row r="97" customFormat="false" ht="15" hidden="false" customHeight="false" outlineLevel="0" collapsed="false">
      <c r="J97" s="42" t="n">
        <f aca="false">EDATE($C$13,56)</f>
        <v>48092</v>
      </c>
      <c r="K97" s="43" t="n">
        <f aca="false">U96*(1+N($D$6)/12)</f>
        <v>0</v>
      </c>
      <c r="L97" s="43" t="n">
        <f aca="false">V96*(1+N($D$7)/12)</f>
        <v>0</v>
      </c>
      <c r="M97" s="43" t="n">
        <f aca="false">W96*(1+N($D$8)/12)</f>
        <v>0</v>
      </c>
      <c r="N97" s="43" t="n">
        <f aca="false">X96*(1+N($D$9)/12)</f>
        <v>0</v>
      </c>
      <c r="O97" s="43" t="n">
        <f aca="false">Y96*(1+N($D$10)/12)</f>
        <v>0</v>
      </c>
      <c r="P97" s="43" t="n">
        <f aca="false">MAX(0,MIN(K97,$C$14-(0)-(MIN(L97,N($E$7))+MIN(M97,N($E$8))+MIN(N97,N($E$9))+MIN(O97,N($E$10)))))</f>
        <v>0</v>
      </c>
      <c r="Q97" s="43" t="n">
        <f aca="false">MAX(0,MIN(L97,$C$14-(P97)-(MIN(M97,N($E$8))+MIN(N97,N($E$9))+MIN(O97,N($E$10)))))</f>
        <v>0</v>
      </c>
      <c r="R97" s="43" t="n">
        <f aca="false">MAX(0,MIN(M97,$C$14-(P97+Q97)-(MIN(N97,N($E$9))+MIN(O97,N($E$10)))))</f>
        <v>0</v>
      </c>
      <c r="S97" s="43" t="n">
        <f aca="false">MAX(0,MIN(N97,$C$14-(P97+Q97+R97)-(MIN(O97,N($E$10)))))</f>
        <v>0</v>
      </c>
      <c r="T97" s="43" t="n">
        <f aca="false">MAX(0,MIN(O97,$C$14-(P97+Q97+R97+S97)-(0)))</f>
        <v>0</v>
      </c>
      <c r="U97" s="43" t="n">
        <f aca="false">ROUND(K97-P97,2)</f>
        <v>0</v>
      </c>
      <c r="V97" s="43" t="n">
        <f aca="false">ROUND(L97-Q97,2)</f>
        <v>0</v>
      </c>
      <c r="W97" s="43" t="n">
        <f aca="false">ROUND(M97-R97,2)</f>
        <v>0</v>
      </c>
      <c r="X97" s="43" t="n">
        <f aca="false">ROUND(N97-S97,2)</f>
        <v>0</v>
      </c>
      <c r="Y97" s="43" t="n">
        <f aca="false">ROUND(O97-T97,2)</f>
        <v>0</v>
      </c>
      <c r="Z97" s="43" t="n">
        <f aca="false">SUM(U97:Y97)</f>
        <v>0</v>
      </c>
    </row>
    <row r="98" customFormat="false" ht="15" hidden="false" customHeight="false" outlineLevel="0" collapsed="false">
      <c r="J98" s="42" t="n">
        <f aca="false">EDATE($C$13,57)</f>
        <v>48122</v>
      </c>
      <c r="K98" s="43" t="n">
        <f aca="false">U97*(1+N($D$6)/12)</f>
        <v>0</v>
      </c>
      <c r="L98" s="43" t="n">
        <f aca="false">V97*(1+N($D$7)/12)</f>
        <v>0</v>
      </c>
      <c r="M98" s="43" t="n">
        <f aca="false">W97*(1+N($D$8)/12)</f>
        <v>0</v>
      </c>
      <c r="N98" s="43" t="n">
        <f aca="false">X97*(1+N($D$9)/12)</f>
        <v>0</v>
      </c>
      <c r="O98" s="43" t="n">
        <f aca="false">Y97*(1+N($D$10)/12)</f>
        <v>0</v>
      </c>
      <c r="P98" s="43" t="n">
        <f aca="false">MAX(0,MIN(K98,$C$14-(0)-(MIN(L98,N($E$7))+MIN(M98,N($E$8))+MIN(N98,N($E$9))+MIN(O98,N($E$10)))))</f>
        <v>0</v>
      </c>
      <c r="Q98" s="43" t="n">
        <f aca="false">MAX(0,MIN(L98,$C$14-(P98)-(MIN(M98,N($E$8))+MIN(N98,N($E$9))+MIN(O98,N($E$10)))))</f>
        <v>0</v>
      </c>
      <c r="R98" s="43" t="n">
        <f aca="false">MAX(0,MIN(M98,$C$14-(P98+Q98)-(MIN(N98,N($E$9))+MIN(O98,N($E$10)))))</f>
        <v>0</v>
      </c>
      <c r="S98" s="43" t="n">
        <f aca="false">MAX(0,MIN(N98,$C$14-(P98+Q98+R98)-(MIN(O98,N($E$10)))))</f>
        <v>0</v>
      </c>
      <c r="T98" s="43" t="n">
        <f aca="false">MAX(0,MIN(O98,$C$14-(P98+Q98+R98+S98)-(0)))</f>
        <v>0</v>
      </c>
      <c r="U98" s="43" t="n">
        <f aca="false">ROUND(K98-P98,2)</f>
        <v>0</v>
      </c>
      <c r="V98" s="43" t="n">
        <f aca="false">ROUND(L98-Q98,2)</f>
        <v>0</v>
      </c>
      <c r="W98" s="43" t="n">
        <f aca="false">ROUND(M98-R98,2)</f>
        <v>0</v>
      </c>
      <c r="X98" s="43" t="n">
        <f aca="false">ROUND(N98-S98,2)</f>
        <v>0</v>
      </c>
      <c r="Y98" s="43" t="n">
        <f aca="false">ROUND(O98-T98,2)</f>
        <v>0</v>
      </c>
      <c r="Z98" s="43" t="n">
        <f aca="false">SUM(U98:Y98)</f>
        <v>0</v>
      </c>
    </row>
    <row r="99" customFormat="false" ht="15" hidden="false" customHeight="false" outlineLevel="0" collapsed="false">
      <c r="J99" s="42" t="n">
        <f aca="false">EDATE($C$13,58)</f>
        <v>48153</v>
      </c>
      <c r="K99" s="43" t="n">
        <f aca="false">U98*(1+N($D$6)/12)</f>
        <v>0</v>
      </c>
      <c r="L99" s="43" t="n">
        <f aca="false">V98*(1+N($D$7)/12)</f>
        <v>0</v>
      </c>
      <c r="M99" s="43" t="n">
        <f aca="false">W98*(1+N($D$8)/12)</f>
        <v>0</v>
      </c>
      <c r="N99" s="43" t="n">
        <f aca="false">X98*(1+N($D$9)/12)</f>
        <v>0</v>
      </c>
      <c r="O99" s="43" t="n">
        <f aca="false">Y98*(1+N($D$10)/12)</f>
        <v>0</v>
      </c>
      <c r="P99" s="43" t="n">
        <f aca="false">MAX(0,MIN(K99,$C$14-(0)-(MIN(L99,N($E$7))+MIN(M99,N($E$8))+MIN(N99,N($E$9))+MIN(O99,N($E$10)))))</f>
        <v>0</v>
      </c>
      <c r="Q99" s="43" t="n">
        <f aca="false">MAX(0,MIN(L99,$C$14-(P99)-(MIN(M99,N($E$8))+MIN(N99,N($E$9))+MIN(O99,N($E$10)))))</f>
        <v>0</v>
      </c>
      <c r="R99" s="43" t="n">
        <f aca="false">MAX(0,MIN(M99,$C$14-(P99+Q99)-(MIN(N99,N($E$9))+MIN(O99,N($E$10)))))</f>
        <v>0</v>
      </c>
      <c r="S99" s="43" t="n">
        <f aca="false">MAX(0,MIN(N99,$C$14-(P99+Q99+R99)-(MIN(O99,N($E$10)))))</f>
        <v>0</v>
      </c>
      <c r="T99" s="43" t="n">
        <f aca="false">MAX(0,MIN(O99,$C$14-(P99+Q99+R99+S99)-(0)))</f>
        <v>0</v>
      </c>
      <c r="U99" s="43" t="n">
        <f aca="false">ROUND(K99-P99,2)</f>
        <v>0</v>
      </c>
      <c r="V99" s="43" t="n">
        <f aca="false">ROUND(L99-Q99,2)</f>
        <v>0</v>
      </c>
      <c r="W99" s="43" t="n">
        <f aca="false">ROUND(M99-R99,2)</f>
        <v>0</v>
      </c>
      <c r="X99" s="43" t="n">
        <f aca="false">ROUND(N99-S99,2)</f>
        <v>0</v>
      </c>
      <c r="Y99" s="43" t="n">
        <f aca="false">ROUND(O99-T99,2)</f>
        <v>0</v>
      </c>
      <c r="Z99" s="43" t="n">
        <f aca="false">SUM(U99:Y99)</f>
        <v>0</v>
      </c>
    </row>
    <row r="100" customFormat="false" ht="15" hidden="false" customHeight="false" outlineLevel="0" collapsed="false">
      <c r="J100" s="42" t="n">
        <f aca="false">EDATE($C$13,59)</f>
        <v>48183</v>
      </c>
      <c r="K100" s="43" t="n">
        <f aca="false">U99*(1+N($D$6)/12)</f>
        <v>0</v>
      </c>
      <c r="L100" s="43" t="n">
        <f aca="false">V99*(1+N($D$7)/12)</f>
        <v>0</v>
      </c>
      <c r="M100" s="43" t="n">
        <f aca="false">W99*(1+N($D$8)/12)</f>
        <v>0</v>
      </c>
      <c r="N100" s="43" t="n">
        <f aca="false">X99*(1+N($D$9)/12)</f>
        <v>0</v>
      </c>
      <c r="O100" s="43" t="n">
        <f aca="false">Y99*(1+N($D$10)/12)</f>
        <v>0</v>
      </c>
      <c r="P100" s="43" t="n">
        <f aca="false">MAX(0,MIN(K100,$C$14-(0)-(MIN(L100,N($E$7))+MIN(M100,N($E$8))+MIN(N100,N($E$9))+MIN(O100,N($E$10)))))</f>
        <v>0</v>
      </c>
      <c r="Q100" s="43" t="n">
        <f aca="false">MAX(0,MIN(L100,$C$14-(P100)-(MIN(M100,N($E$8))+MIN(N100,N($E$9))+MIN(O100,N($E$10)))))</f>
        <v>0</v>
      </c>
      <c r="R100" s="43" t="n">
        <f aca="false">MAX(0,MIN(M100,$C$14-(P100+Q100)-(MIN(N100,N($E$9))+MIN(O100,N($E$10)))))</f>
        <v>0</v>
      </c>
      <c r="S100" s="43" t="n">
        <f aca="false">MAX(0,MIN(N100,$C$14-(P100+Q100+R100)-(MIN(O100,N($E$10)))))</f>
        <v>0</v>
      </c>
      <c r="T100" s="43" t="n">
        <f aca="false">MAX(0,MIN(O100,$C$14-(P100+Q100+R100+S100)-(0)))</f>
        <v>0</v>
      </c>
      <c r="U100" s="43" t="n">
        <f aca="false">ROUND(K100-P100,2)</f>
        <v>0</v>
      </c>
      <c r="V100" s="43" t="n">
        <f aca="false">ROUND(L100-Q100,2)</f>
        <v>0</v>
      </c>
      <c r="W100" s="43" t="n">
        <f aca="false">ROUND(M100-R100,2)</f>
        <v>0</v>
      </c>
      <c r="X100" s="43" t="n">
        <f aca="false">ROUND(N100-S100,2)</f>
        <v>0</v>
      </c>
      <c r="Y100" s="43" t="n">
        <f aca="false">ROUND(O100-T100,2)</f>
        <v>0</v>
      </c>
      <c r="Z100" s="43" t="n">
        <f aca="false">SUM(U100:Y100)</f>
        <v>0</v>
      </c>
    </row>
    <row r="101" customFormat="false" ht="15" hidden="false" customHeight="false" outlineLevel="0" collapsed="false">
      <c r="J101" s="42" t="n">
        <f aca="false">EDATE($C$13,60)</f>
        <v>48214</v>
      </c>
      <c r="K101" s="43" t="n">
        <f aca="false">U100*(1+N($D$6)/12)</f>
        <v>0</v>
      </c>
      <c r="L101" s="43" t="n">
        <f aca="false">V100*(1+N($D$7)/12)</f>
        <v>0</v>
      </c>
      <c r="M101" s="43" t="n">
        <f aca="false">W100*(1+N($D$8)/12)</f>
        <v>0</v>
      </c>
      <c r="N101" s="43" t="n">
        <f aca="false">X100*(1+N($D$9)/12)</f>
        <v>0</v>
      </c>
      <c r="O101" s="43" t="n">
        <f aca="false">Y100*(1+N($D$10)/12)</f>
        <v>0</v>
      </c>
      <c r="P101" s="43" t="n">
        <f aca="false">MAX(0,MIN(K101,$C$14-(0)-(MIN(L101,N($E$7))+MIN(M101,N($E$8))+MIN(N101,N($E$9))+MIN(O101,N($E$10)))))</f>
        <v>0</v>
      </c>
      <c r="Q101" s="43" t="n">
        <f aca="false">MAX(0,MIN(L101,$C$14-(P101)-(MIN(M101,N($E$8))+MIN(N101,N($E$9))+MIN(O101,N($E$10)))))</f>
        <v>0</v>
      </c>
      <c r="R101" s="43" t="n">
        <f aca="false">MAX(0,MIN(M101,$C$14-(P101+Q101)-(MIN(N101,N($E$9))+MIN(O101,N($E$10)))))</f>
        <v>0</v>
      </c>
      <c r="S101" s="43" t="n">
        <f aca="false">MAX(0,MIN(N101,$C$14-(P101+Q101+R101)-(MIN(O101,N($E$10)))))</f>
        <v>0</v>
      </c>
      <c r="T101" s="43" t="n">
        <f aca="false">MAX(0,MIN(O101,$C$14-(P101+Q101+R101+S101)-(0)))</f>
        <v>0</v>
      </c>
      <c r="U101" s="43" t="n">
        <f aca="false">ROUND(K101-P101,2)</f>
        <v>0</v>
      </c>
      <c r="V101" s="43" t="n">
        <f aca="false">ROUND(L101-Q101,2)</f>
        <v>0</v>
      </c>
      <c r="W101" s="43" t="n">
        <f aca="false">ROUND(M101-R101,2)</f>
        <v>0</v>
      </c>
      <c r="X101" s="43" t="n">
        <f aca="false">ROUND(N101-S101,2)</f>
        <v>0</v>
      </c>
      <c r="Y101" s="43" t="n">
        <f aca="false">ROUND(O101-T101,2)</f>
        <v>0</v>
      </c>
      <c r="Z101" s="43" t="n">
        <f aca="false">SUM(U101:Y101)</f>
        <v>0</v>
      </c>
    </row>
    <row r="102" customFormat="false" ht="15" hidden="false" customHeight="false" outlineLevel="0" collapsed="false">
      <c r="J102" s="42" t="n">
        <f aca="false">EDATE($C$13,61)</f>
        <v>48245</v>
      </c>
      <c r="K102" s="43" t="n">
        <f aca="false">U101*(1+N($D$6)/12)</f>
        <v>0</v>
      </c>
      <c r="L102" s="43" t="n">
        <f aca="false">V101*(1+N($D$7)/12)</f>
        <v>0</v>
      </c>
      <c r="M102" s="43" t="n">
        <f aca="false">W101*(1+N($D$8)/12)</f>
        <v>0</v>
      </c>
      <c r="N102" s="43" t="n">
        <f aca="false">X101*(1+N($D$9)/12)</f>
        <v>0</v>
      </c>
      <c r="O102" s="43" t="n">
        <f aca="false">Y101*(1+N($D$10)/12)</f>
        <v>0</v>
      </c>
      <c r="P102" s="43" t="n">
        <f aca="false">MAX(0,MIN(K102,$C$14-(0)-(MIN(L102,N($E$7))+MIN(M102,N($E$8))+MIN(N102,N($E$9))+MIN(O102,N($E$10)))))</f>
        <v>0</v>
      </c>
      <c r="Q102" s="43" t="n">
        <f aca="false">MAX(0,MIN(L102,$C$14-(P102)-(MIN(M102,N($E$8))+MIN(N102,N($E$9))+MIN(O102,N($E$10)))))</f>
        <v>0</v>
      </c>
      <c r="R102" s="43" t="n">
        <f aca="false">MAX(0,MIN(M102,$C$14-(P102+Q102)-(MIN(N102,N($E$9))+MIN(O102,N($E$10)))))</f>
        <v>0</v>
      </c>
      <c r="S102" s="43" t="n">
        <f aca="false">MAX(0,MIN(N102,$C$14-(P102+Q102+R102)-(MIN(O102,N($E$10)))))</f>
        <v>0</v>
      </c>
      <c r="T102" s="43" t="n">
        <f aca="false">MAX(0,MIN(O102,$C$14-(P102+Q102+R102+S102)-(0)))</f>
        <v>0</v>
      </c>
      <c r="U102" s="43" t="n">
        <f aca="false">ROUND(K102-P102,2)</f>
        <v>0</v>
      </c>
      <c r="V102" s="43" t="n">
        <f aca="false">ROUND(L102-Q102,2)</f>
        <v>0</v>
      </c>
      <c r="W102" s="43" t="n">
        <f aca="false">ROUND(M102-R102,2)</f>
        <v>0</v>
      </c>
      <c r="X102" s="43" t="n">
        <f aca="false">ROUND(N102-S102,2)</f>
        <v>0</v>
      </c>
      <c r="Y102" s="43" t="n">
        <f aca="false">ROUND(O102-T102,2)</f>
        <v>0</v>
      </c>
      <c r="Z102" s="43" t="n">
        <f aca="false">SUM(U102:Y102)</f>
        <v>0</v>
      </c>
    </row>
    <row r="103" customFormat="false" ht="15" hidden="false" customHeight="false" outlineLevel="0" collapsed="false">
      <c r="J103" s="42" t="n">
        <f aca="false">EDATE($C$13,62)</f>
        <v>48274</v>
      </c>
      <c r="K103" s="43" t="n">
        <f aca="false">U102*(1+N($D$6)/12)</f>
        <v>0</v>
      </c>
      <c r="L103" s="43" t="n">
        <f aca="false">V102*(1+N($D$7)/12)</f>
        <v>0</v>
      </c>
      <c r="M103" s="43" t="n">
        <f aca="false">W102*(1+N($D$8)/12)</f>
        <v>0</v>
      </c>
      <c r="N103" s="43" t="n">
        <f aca="false">X102*(1+N($D$9)/12)</f>
        <v>0</v>
      </c>
      <c r="O103" s="43" t="n">
        <f aca="false">Y102*(1+N($D$10)/12)</f>
        <v>0</v>
      </c>
      <c r="P103" s="43" t="n">
        <f aca="false">MAX(0,MIN(K103,$C$14-(0)-(MIN(L103,N($E$7))+MIN(M103,N($E$8))+MIN(N103,N($E$9))+MIN(O103,N($E$10)))))</f>
        <v>0</v>
      </c>
      <c r="Q103" s="43" t="n">
        <f aca="false">MAX(0,MIN(L103,$C$14-(P103)-(MIN(M103,N($E$8))+MIN(N103,N($E$9))+MIN(O103,N($E$10)))))</f>
        <v>0</v>
      </c>
      <c r="R103" s="43" t="n">
        <f aca="false">MAX(0,MIN(M103,$C$14-(P103+Q103)-(MIN(N103,N($E$9))+MIN(O103,N($E$10)))))</f>
        <v>0</v>
      </c>
      <c r="S103" s="43" t="n">
        <f aca="false">MAX(0,MIN(N103,$C$14-(P103+Q103+R103)-(MIN(O103,N($E$10)))))</f>
        <v>0</v>
      </c>
      <c r="T103" s="43" t="n">
        <f aca="false">MAX(0,MIN(O103,$C$14-(P103+Q103+R103+S103)-(0)))</f>
        <v>0</v>
      </c>
      <c r="U103" s="43" t="n">
        <f aca="false">ROUND(K103-P103,2)</f>
        <v>0</v>
      </c>
      <c r="V103" s="43" t="n">
        <f aca="false">ROUND(L103-Q103,2)</f>
        <v>0</v>
      </c>
      <c r="W103" s="43" t="n">
        <f aca="false">ROUND(M103-R103,2)</f>
        <v>0</v>
      </c>
      <c r="X103" s="43" t="n">
        <f aca="false">ROUND(N103-S103,2)</f>
        <v>0</v>
      </c>
      <c r="Y103" s="43" t="n">
        <f aca="false">ROUND(O103-T103,2)</f>
        <v>0</v>
      </c>
      <c r="Z103" s="43" t="n">
        <f aca="false">SUM(U103:Y103)</f>
        <v>0</v>
      </c>
    </row>
    <row r="104" customFormat="false" ht="15" hidden="false" customHeight="false" outlineLevel="0" collapsed="false">
      <c r="J104" s="42" t="n">
        <f aca="false">EDATE($C$13,63)</f>
        <v>48305</v>
      </c>
      <c r="K104" s="43" t="n">
        <f aca="false">U103*(1+N($D$6)/12)</f>
        <v>0</v>
      </c>
      <c r="L104" s="43" t="n">
        <f aca="false">V103*(1+N($D$7)/12)</f>
        <v>0</v>
      </c>
      <c r="M104" s="43" t="n">
        <f aca="false">W103*(1+N($D$8)/12)</f>
        <v>0</v>
      </c>
      <c r="N104" s="43" t="n">
        <f aca="false">X103*(1+N($D$9)/12)</f>
        <v>0</v>
      </c>
      <c r="O104" s="43" t="n">
        <f aca="false">Y103*(1+N($D$10)/12)</f>
        <v>0</v>
      </c>
      <c r="P104" s="43" t="n">
        <f aca="false">MAX(0,MIN(K104,$C$14-(0)-(MIN(L104,N($E$7))+MIN(M104,N($E$8))+MIN(N104,N($E$9))+MIN(O104,N($E$10)))))</f>
        <v>0</v>
      </c>
      <c r="Q104" s="43" t="n">
        <f aca="false">MAX(0,MIN(L104,$C$14-(P104)-(MIN(M104,N($E$8))+MIN(N104,N($E$9))+MIN(O104,N($E$10)))))</f>
        <v>0</v>
      </c>
      <c r="R104" s="43" t="n">
        <f aca="false">MAX(0,MIN(M104,$C$14-(P104+Q104)-(MIN(N104,N($E$9))+MIN(O104,N($E$10)))))</f>
        <v>0</v>
      </c>
      <c r="S104" s="43" t="n">
        <f aca="false">MAX(0,MIN(N104,$C$14-(P104+Q104+R104)-(MIN(O104,N($E$10)))))</f>
        <v>0</v>
      </c>
      <c r="T104" s="43" t="n">
        <f aca="false">MAX(0,MIN(O104,$C$14-(P104+Q104+R104+S104)-(0)))</f>
        <v>0</v>
      </c>
      <c r="U104" s="43" t="n">
        <f aca="false">ROUND(K104-P104,2)</f>
        <v>0</v>
      </c>
      <c r="V104" s="43" t="n">
        <f aca="false">ROUND(L104-Q104,2)</f>
        <v>0</v>
      </c>
      <c r="W104" s="43" t="n">
        <f aca="false">ROUND(M104-R104,2)</f>
        <v>0</v>
      </c>
      <c r="X104" s="43" t="n">
        <f aca="false">ROUND(N104-S104,2)</f>
        <v>0</v>
      </c>
      <c r="Y104" s="43" t="n">
        <f aca="false">ROUND(O104-T104,2)</f>
        <v>0</v>
      </c>
      <c r="Z104" s="43" t="n">
        <f aca="false">SUM(U104:Y104)</f>
        <v>0</v>
      </c>
    </row>
    <row r="105" customFormat="false" ht="15" hidden="false" customHeight="false" outlineLevel="0" collapsed="false">
      <c r="J105" s="42" t="n">
        <f aca="false">EDATE($C$13,64)</f>
        <v>48335</v>
      </c>
      <c r="K105" s="43" t="n">
        <f aca="false">U104*(1+N($D$6)/12)</f>
        <v>0</v>
      </c>
      <c r="L105" s="43" t="n">
        <f aca="false">V104*(1+N($D$7)/12)</f>
        <v>0</v>
      </c>
      <c r="M105" s="43" t="n">
        <f aca="false">W104*(1+N($D$8)/12)</f>
        <v>0</v>
      </c>
      <c r="N105" s="43" t="n">
        <f aca="false">X104*(1+N($D$9)/12)</f>
        <v>0</v>
      </c>
      <c r="O105" s="43" t="n">
        <f aca="false">Y104*(1+N($D$10)/12)</f>
        <v>0</v>
      </c>
      <c r="P105" s="43" t="n">
        <f aca="false">MAX(0,MIN(K105,$C$14-(0)-(MIN(L105,N($E$7))+MIN(M105,N($E$8))+MIN(N105,N($E$9))+MIN(O105,N($E$10)))))</f>
        <v>0</v>
      </c>
      <c r="Q105" s="43" t="n">
        <f aca="false">MAX(0,MIN(L105,$C$14-(P105)-(MIN(M105,N($E$8))+MIN(N105,N($E$9))+MIN(O105,N($E$10)))))</f>
        <v>0</v>
      </c>
      <c r="R105" s="43" t="n">
        <f aca="false">MAX(0,MIN(M105,$C$14-(P105+Q105)-(MIN(N105,N($E$9))+MIN(O105,N($E$10)))))</f>
        <v>0</v>
      </c>
      <c r="S105" s="43" t="n">
        <f aca="false">MAX(0,MIN(N105,$C$14-(P105+Q105+R105)-(MIN(O105,N($E$10)))))</f>
        <v>0</v>
      </c>
      <c r="T105" s="43" t="n">
        <f aca="false">MAX(0,MIN(O105,$C$14-(P105+Q105+R105+S105)-(0)))</f>
        <v>0</v>
      </c>
      <c r="U105" s="43" t="n">
        <f aca="false">ROUND(K105-P105,2)</f>
        <v>0</v>
      </c>
      <c r="V105" s="43" t="n">
        <f aca="false">ROUND(L105-Q105,2)</f>
        <v>0</v>
      </c>
      <c r="W105" s="43" t="n">
        <f aca="false">ROUND(M105-R105,2)</f>
        <v>0</v>
      </c>
      <c r="X105" s="43" t="n">
        <f aca="false">ROUND(N105-S105,2)</f>
        <v>0</v>
      </c>
      <c r="Y105" s="43" t="n">
        <f aca="false">ROUND(O105-T105,2)</f>
        <v>0</v>
      </c>
      <c r="Z105" s="43" t="n">
        <f aca="false">SUM(U105:Y105)</f>
        <v>0</v>
      </c>
    </row>
    <row r="106" customFormat="false" ht="15" hidden="false" customHeight="false" outlineLevel="0" collapsed="false">
      <c r="J106" s="42" t="n">
        <f aca="false">EDATE($C$13,65)</f>
        <v>48366</v>
      </c>
      <c r="K106" s="43" t="n">
        <f aca="false">U105*(1+N($D$6)/12)</f>
        <v>0</v>
      </c>
      <c r="L106" s="43" t="n">
        <f aca="false">V105*(1+N($D$7)/12)</f>
        <v>0</v>
      </c>
      <c r="M106" s="43" t="n">
        <f aca="false">W105*(1+N($D$8)/12)</f>
        <v>0</v>
      </c>
      <c r="N106" s="43" t="n">
        <f aca="false">X105*(1+N($D$9)/12)</f>
        <v>0</v>
      </c>
      <c r="O106" s="43" t="n">
        <f aca="false">Y105*(1+N($D$10)/12)</f>
        <v>0</v>
      </c>
      <c r="P106" s="43" t="n">
        <f aca="false">MAX(0,MIN(K106,$C$14-(0)-(MIN(L106,N($E$7))+MIN(M106,N($E$8))+MIN(N106,N($E$9))+MIN(O106,N($E$10)))))</f>
        <v>0</v>
      </c>
      <c r="Q106" s="43" t="n">
        <f aca="false">MAX(0,MIN(L106,$C$14-(P106)-(MIN(M106,N($E$8))+MIN(N106,N($E$9))+MIN(O106,N($E$10)))))</f>
        <v>0</v>
      </c>
      <c r="R106" s="43" t="n">
        <f aca="false">MAX(0,MIN(M106,$C$14-(P106+Q106)-(MIN(N106,N($E$9))+MIN(O106,N($E$10)))))</f>
        <v>0</v>
      </c>
      <c r="S106" s="43" t="n">
        <f aca="false">MAX(0,MIN(N106,$C$14-(P106+Q106+R106)-(MIN(O106,N($E$10)))))</f>
        <v>0</v>
      </c>
      <c r="T106" s="43" t="n">
        <f aca="false">MAX(0,MIN(O106,$C$14-(P106+Q106+R106+S106)-(0)))</f>
        <v>0</v>
      </c>
      <c r="U106" s="43" t="n">
        <f aca="false">ROUND(K106-P106,2)</f>
        <v>0</v>
      </c>
      <c r="V106" s="43" t="n">
        <f aca="false">ROUND(L106-Q106,2)</f>
        <v>0</v>
      </c>
      <c r="W106" s="43" t="n">
        <f aca="false">ROUND(M106-R106,2)</f>
        <v>0</v>
      </c>
      <c r="X106" s="43" t="n">
        <f aca="false">ROUND(N106-S106,2)</f>
        <v>0</v>
      </c>
      <c r="Y106" s="43" t="n">
        <f aca="false">ROUND(O106-T106,2)</f>
        <v>0</v>
      </c>
      <c r="Z106" s="43" t="n">
        <f aca="false">SUM(U106:Y106)</f>
        <v>0</v>
      </c>
    </row>
    <row r="107" customFormat="false" ht="15" hidden="false" customHeight="false" outlineLevel="0" collapsed="false">
      <c r="J107" s="42" t="n">
        <f aca="false">EDATE($C$13,66)</f>
        <v>48396</v>
      </c>
      <c r="K107" s="43" t="n">
        <f aca="false">U106*(1+N($D$6)/12)</f>
        <v>0</v>
      </c>
      <c r="L107" s="43" t="n">
        <f aca="false">V106*(1+N($D$7)/12)</f>
        <v>0</v>
      </c>
      <c r="M107" s="43" t="n">
        <f aca="false">W106*(1+N($D$8)/12)</f>
        <v>0</v>
      </c>
      <c r="N107" s="43" t="n">
        <f aca="false">X106*(1+N($D$9)/12)</f>
        <v>0</v>
      </c>
      <c r="O107" s="43" t="n">
        <f aca="false">Y106*(1+N($D$10)/12)</f>
        <v>0</v>
      </c>
      <c r="P107" s="43" t="n">
        <f aca="false">MAX(0,MIN(K107,$C$14-(0)-(MIN(L107,N($E$7))+MIN(M107,N($E$8))+MIN(N107,N($E$9))+MIN(O107,N($E$10)))))</f>
        <v>0</v>
      </c>
      <c r="Q107" s="43" t="n">
        <f aca="false">MAX(0,MIN(L107,$C$14-(P107)-(MIN(M107,N($E$8))+MIN(N107,N($E$9))+MIN(O107,N($E$10)))))</f>
        <v>0</v>
      </c>
      <c r="R107" s="43" t="n">
        <f aca="false">MAX(0,MIN(M107,$C$14-(P107+Q107)-(MIN(N107,N($E$9))+MIN(O107,N($E$10)))))</f>
        <v>0</v>
      </c>
      <c r="S107" s="43" t="n">
        <f aca="false">MAX(0,MIN(N107,$C$14-(P107+Q107+R107)-(MIN(O107,N($E$10)))))</f>
        <v>0</v>
      </c>
      <c r="T107" s="43" t="n">
        <f aca="false">MAX(0,MIN(O107,$C$14-(P107+Q107+R107+S107)-(0)))</f>
        <v>0</v>
      </c>
      <c r="U107" s="43" t="n">
        <f aca="false">ROUND(K107-P107,2)</f>
        <v>0</v>
      </c>
      <c r="V107" s="43" t="n">
        <f aca="false">ROUND(L107-Q107,2)</f>
        <v>0</v>
      </c>
      <c r="W107" s="43" t="n">
        <f aca="false">ROUND(M107-R107,2)</f>
        <v>0</v>
      </c>
      <c r="X107" s="43" t="n">
        <f aca="false">ROUND(N107-S107,2)</f>
        <v>0</v>
      </c>
      <c r="Y107" s="43" t="n">
        <f aca="false">ROUND(O107-T107,2)</f>
        <v>0</v>
      </c>
      <c r="Z107" s="43" t="n">
        <f aca="false">SUM(U107:Y107)</f>
        <v>0</v>
      </c>
    </row>
    <row r="108" customFormat="false" ht="15" hidden="false" customHeight="false" outlineLevel="0" collapsed="false">
      <c r="J108" s="42" t="n">
        <f aca="false">EDATE($C$13,67)</f>
        <v>48427</v>
      </c>
      <c r="K108" s="43" t="n">
        <f aca="false">U107*(1+N($D$6)/12)</f>
        <v>0</v>
      </c>
      <c r="L108" s="43" t="n">
        <f aca="false">V107*(1+N($D$7)/12)</f>
        <v>0</v>
      </c>
      <c r="M108" s="43" t="n">
        <f aca="false">W107*(1+N($D$8)/12)</f>
        <v>0</v>
      </c>
      <c r="N108" s="43" t="n">
        <f aca="false">X107*(1+N($D$9)/12)</f>
        <v>0</v>
      </c>
      <c r="O108" s="43" t="n">
        <f aca="false">Y107*(1+N($D$10)/12)</f>
        <v>0</v>
      </c>
      <c r="P108" s="43" t="n">
        <f aca="false">MAX(0,MIN(K108,$C$14-(0)-(MIN(L108,N($E$7))+MIN(M108,N($E$8))+MIN(N108,N($E$9))+MIN(O108,N($E$10)))))</f>
        <v>0</v>
      </c>
      <c r="Q108" s="43" t="n">
        <f aca="false">MAX(0,MIN(L108,$C$14-(P108)-(MIN(M108,N($E$8))+MIN(N108,N($E$9))+MIN(O108,N($E$10)))))</f>
        <v>0</v>
      </c>
      <c r="R108" s="43" t="n">
        <f aca="false">MAX(0,MIN(M108,$C$14-(P108+Q108)-(MIN(N108,N($E$9))+MIN(O108,N($E$10)))))</f>
        <v>0</v>
      </c>
      <c r="S108" s="43" t="n">
        <f aca="false">MAX(0,MIN(N108,$C$14-(P108+Q108+R108)-(MIN(O108,N($E$10)))))</f>
        <v>0</v>
      </c>
      <c r="T108" s="43" t="n">
        <f aca="false">MAX(0,MIN(O108,$C$14-(P108+Q108+R108+S108)-(0)))</f>
        <v>0</v>
      </c>
      <c r="U108" s="43" t="n">
        <f aca="false">ROUND(K108-P108,2)</f>
        <v>0</v>
      </c>
      <c r="V108" s="43" t="n">
        <f aca="false">ROUND(L108-Q108,2)</f>
        <v>0</v>
      </c>
      <c r="W108" s="43" t="n">
        <f aca="false">ROUND(M108-R108,2)</f>
        <v>0</v>
      </c>
      <c r="X108" s="43" t="n">
        <f aca="false">ROUND(N108-S108,2)</f>
        <v>0</v>
      </c>
      <c r="Y108" s="43" t="n">
        <f aca="false">ROUND(O108-T108,2)</f>
        <v>0</v>
      </c>
      <c r="Z108" s="43" t="n">
        <f aca="false">SUM(U108:Y108)</f>
        <v>0</v>
      </c>
    </row>
    <row r="109" customFormat="false" ht="15" hidden="false" customHeight="false" outlineLevel="0" collapsed="false">
      <c r="J109" s="42" t="n">
        <f aca="false">EDATE($C$13,68)</f>
        <v>48458</v>
      </c>
      <c r="K109" s="43" t="n">
        <f aca="false">U108*(1+N($D$6)/12)</f>
        <v>0</v>
      </c>
      <c r="L109" s="43" t="n">
        <f aca="false">V108*(1+N($D$7)/12)</f>
        <v>0</v>
      </c>
      <c r="M109" s="43" t="n">
        <f aca="false">W108*(1+N($D$8)/12)</f>
        <v>0</v>
      </c>
      <c r="N109" s="43" t="n">
        <f aca="false">X108*(1+N($D$9)/12)</f>
        <v>0</v>
      </c>
      <c r="O109" s="43" t="n">
        <f aca="false">Y108*(1+N($D$10)/12)</f>
        <v>0</v>
      </c>
      <c r="P109" s="43" t="n">
        <f aca="false">MAX(0,MIN(K109,$C$14-(0)-(MIN(L109,N($E$7))+MIN(M109,N($E$8))+MIN(N109,N($E$9))+MIN(O109,N($E$10)))))</f>
        <v>0</v>
      </c>
      <c r="Q109" s="43" t="n">
        <f aca="false">MAX(0,MIN(L109,$C$14-(P109)-(MIN(M109,N($E$8))+MIN(N109,N($E$9))+MIN(O109,N($E$10)))))</f>
        <v>0</v>
      </c>
      <c r="R109" s="43" t="n">
        <f aca="false">MAX(0,MIN(M109,$C$14-(P109+Q109)-(MIN(N109,N($E$9))+MIN(O109,N($E$10)))))</f>
        <v>0</v>
      </c>
      <c r="S109" s="43" t="n">
        <f aca="false">MAX(0,MIN(N109,$C$14-(P109+Q109+R109)-(MIN(O109,N($E$10)))))</f>
        <v>0</v>
      </c>
      <c r="T109" s="43" t="n">
        <f aca="false">MAX(0,MIN(O109,$C$14-(P109+Q109+R109+S109)-(0)))</f>
        <v>0</v>
      </c>
      <c r="U109" s="43" t="n">
        <f aca="false">ROUND(K109-P109,2)</f>
        <v>0</v>
      </c>
      <c r="V109" s="43" t="n">
        <f aca="false">ROUND(L109-Q109,2)</f>
        <v>0</v>
      </c>
      <c r="W109" s="43" t="n">
        <f aca="false">ROUND(M109-R109,2)</f>
        <v>0</v>
      </c>
      <c r="X109" s="43" t="n">
        <f aca="false">ROUND(N109-S109,2)</f>
        <v>0</v>
      </c>
      <c r="Y109" s="43" t="n">
        <f aca="false">ROUND(O109-T109,2)</f>
        <v>0</v>
      </c>
      <c r="Z109" s="43" t="n">
        <f aca="false">SUM(U109:Y109)</f>
        <v>0</v>
      </c>
    </row>
    <row r="110" customFormat="false" ht="15" hidden="false" customHeight="false" outlineLevel="0" collapsed="false">
      <c r="J110" s="42" t="n">
        <f aca="false">EDATE($C$13,69)</f>
        <v>48488</v>
      </c>
      <c r="K110" s="43" t="n">
        <f aca="false">U109*(1+N($D$6)/12)</f>
        <v>0</v>
      </c>
      <c r="L110" s="43" t="n">
        <f aca="false">V109*(1+N($D$7)/12)</f>
        <v>0</v>
      </c>
      <c r="M110" s="43" t="n">
        <f aca="false">W109*(1+N($D$8)/12)</f>
        <v>0</v>
      </c>
      <c r="N110" s="43" t="n">
        <f aca="false">X109*(1+N($D$9)/12)</f>
        <v>0</v>
      </c>
      <c r="O110" s="43" t="n">
        <f aca="false">Y109*(1+N($D$10)/12)</f>
        <v>0</v>
      </c>
      <c r="P110" s="43" t="n">
        <f aca="false">MAX(0,MIN(K110,$C$14-(0)-(MIN(L110,N($E$7))+MIN(M110,N($E$8))+MIN(N110,N($E$9))+MIN(O110,N($E$10)))))</f>
        <v>0</v>
      </c>
      <c r="Q110" s="43" t="n">
        <f aca="false">MAX(0,MIN(L110,$C$14-(P110)-(MIN(M110,N($E$8))+MIN(N110,N($E$9))+MIN(O110,N($E$10)))))</f>
        <v>0</v>
      </c>
      <c r="R110" s="43" t="n">
        <f aca="false">MAX(0,MIN(M110,$C$14-(P110+Q110)-(MIN(N110,N($E$9))+MIN(O110,N($E$10)))))</f>
        <v>0</v>
      </c>
      <c r="S110" s="43" t="n">
        <f aca="false">MAX(0,MIN(N110,$C$14-(P110+Q110+R110)-(MIN(O110,N($E$10)))))</f>
        <v>0</v>
      </c>
      <c r="T110" s="43" t="n">
        <f aca="false">MAX(0,MIN(O110,$C$14-(P110+Q110+R110+S110)-(0)))</f>
        <v>0</v>
      </c>
      <c r="U110" s="43" t="n">
        <f aca="false">ROUND(K110-P110,2)</f>
        <v>0</v>
      </c>
      <c r="V110" s="43" t="n">
        <f aca="false">ROUND(L110-Q110,2)</f>
        <v>0</v>
      </c>
      <c r="W110" s="43" t="n">
        <f aca="false">ROUND(M110-R110,2)</f>
        <v>0</v>
      </c>
      <c r="X110" s="43" t="n">
        <f aca="false">ROUND(N110-S110,2)</f>
        <v>0</v>
      </c>
      <c r="Y110" s="43" t="n">
        <f aca="false">ROUND(O110-T110,2)</f>
        <v>0</v>
      </c>
      <c r="Z110" s="43" t="n">
        <f aca="false">SUM(U110:Y110)</f>
        <v>0</v>
      </c>
    </row>
    <row r="111" customFormat="false" ht="15" hidden="false" customHeight="false" outlineLevel="0" collapsed="false">
      <c r="J111" s="42" t="n">
        <f aca="false">EDATE($C$13,70)</f>
        <v>48519</v>
      </c>
      <c r="K111" s="43" t="n">
        <f aca="false">U110*(1+N($D$6)/12)</f>
        <v>0</v>
      </c>
      <c r="L111" s="43" t="n">
        <f aca="false">V110*(1+N($D$7)/12)</f>
        <v>0</v>
      </c>
      <c r="M111" s="43" t="n">
        <f aca="false">W110*(1+N($D$8)/12)</f>
        <v>0</v>
      </c>
      <c r="N111" s="43" t="n">
        <f aca="false">X110*(1+N($D$9)/12)</f>
        <v>0</v>
      </c>
      <c r="O111" s="43" t="n">
        <f aca="false">Y110*(1+N($D$10)/12)</f>
        <v>0</v>
      </c>
      <c r="P111" s="43" t="n">
        <f aca="false">MAX(0,MIN(K111,$C$14-(0)-(MIN(L111,N($E$7))+MIN(M111,N($E$8))+MIN(N111,N($E$9))+MIN(O111,N($E$10)))))</f>
        <v>0</v>
      </c>
      <c r="Q111" s="43" t="n">
        <f aca="false">MAX(0,MIN(L111,$C$14-(P111)-(MIN(M111,N($E$8))+MIN(N111,N($E$9))+MIN(O111,N($E$10)))))</f>
        <v>0</v>
      </c>
      <c r="R111" s="43" t="n">
        <f aca="false">MAX(0,MIN(M111,$C$14-(P111+Q111)-(MIN(N111,N($E$9))+MIN(O111,N($E$10)))))</f>
        <v>0</v>
      </c>
      <c r="S111" s="43" t="n">
        <f aca="false">MAX(0,MIN(N111,$C$14-(P111+Q111+R111)-(MIN(O111,N($E$10)))))</f>
        <v>0</v>
      </c>
      <c r="T111" s="43" t="n">
        <f aca="false">MAX(0,MIN(O111,$C$14-(P111+Q111+R111+S111)-(0)))</f>
        <v>0</v>
      </c>
      <c r="U111" s="43" t="n">
        <f aca="false">ROUND(K111-P111,2)</f>
        <v>0</v>
      </c>
      <c r="V111" s="43" t="n">
        <f aca="false">ROUND(L111-Q111,2)</f>
        <v>0</v>
      </c>
      <c r="W111" s="43" t="n">
        <f aca="false">ROUND(M111-R111,2)</f>
        <v>0</v>
      </c>
      <c r="X111" s="43" t="n">
        <f aca="false">ROUND(N111-S111,2)</f>
        <v>0</v>
      </c>
      <c r="Y111" s="43" t="n">
        <f aca="false">ROUND(O111-T111,2)</f>
        <v>0</v>
      </c>
      <c r="Z111" s="43" t="n">
        <f aca="false">SUM(U111:Y111)</f>
        <v>0</v>
      </c>
    </row>
    <row r="112" customFormat="false" ht="15" hidden="false" customHeight="false" outlineLevel="0" collapsed="false">
      <c r="J112" s="42" t="n">
        <f aca="false">EDATE($C$13,71)</f>
        <v>48549</v>
      </c>
      <c r="K112" s="43" t="n">
        <f aca="false">U111*(1+N($D$6)/12)</f>
        <v>0</v>
      </c>
      <c r="L112" s="43" t="n">
        <f aca="false">V111*(1+N($D$7)/12)</f>
        <v>0</v>
      </c>
      <c r="M112" s="43" t="n">
        <f aca="false">W111*(1+N($D$8)/12)</f>
        <v>0</v>
      </c>
      <c r="N112" s="43" t="n">
        <f aca="false">X111*(1+N($D$9)/12)</f>
        <v>0</v>
      </c>
      <c r="O112" s="43" t="n">
        <f aca="false">Y111*(1+N($D$10)/12)</f>
        <v>0</v>
      </c>
      <c r="P112" s="43" t="n">
        <f aca="false">MAX(0,MIN(K112,$C$14-(0)-(MIN(L112,N($E$7))+MIN(M112,N($E$8))+MIN(N112,N($E$9))+MIN(O112,N($E$10)))))</f>
        <v>0</v>
      </c>
      <c r="Q112" s="43" t="n">
        <f aca="false">MAX(0,MIN(L112,$C$14-(P112)-(MIN(M112,N($E$8))+MIN(N112,N($E$9))+MIN(O112,N($E$10)))))</f>
        <v>0</v>
      </c>
      <c r="R112" s="43" t="n">
        <f aca="false">MAX(0,MIN(M112,$C$14-(P112+Q112)-(MIN(N112,N($E$9))+MIN(O112,N($E$10)))))</f>
        <v>0</v>
      </c>
      <c r="S112" s="43" t="n">
        <f aca="false">MAX(0,MIN(N112,$C$14-(P112+Q112+R112)-(MIN(O112,N($E$10)))))</f>
        <v>0</v>
      </c>
      <c r="T112" s="43" t="n">
        <f aca="false">MAX(0,MIN(O112,$C$14-(P112+Q112+R112+S112)-(0)))</f>
        <v>0</v>
      </c>
      <c r="U112" s="43" t="n">
        <f aca="false">ROUND(K112-P112,2)</f>
        <v>0</v>
      </c>
      <c r="V112" s="43" t="n">
        <f aca="false">ROUND(L112-Q112,2)</f>
        <v>0</v>
      </c>
      <c r="W112" s="43" t="n">
        <f aca="false">ROUND(M112-R112,2)</f>
        <v>0</v>
      </c>
      <c r="X112" s="43" t="n">
        <f aca="false">ROUND(N112-S112,2)</f>
        <v>0</v>
      </c>
      <c r="Y112" s="43" t="n">
        <f aca="false">ROUND(O112-T112,2)</f>
        <v>0</v>
      </c>
      <c r="Z112" s="43" t="n">
        <f aca="false">SUM(U112:Y112)</f>
        <v>0</v>
      </c>
    </row>
    <row r="113" customFormat="false" ht="15" hidden="false" customHeight="false" outlineLevel="0" collapsed="false">
      <c r="J113" s="42" t="n">
        <f aca="false">EDATE($C$13,72)</f>
        <v>48580</v>
      </c>
      <c r="K113" s="43" t="n">
        <f aca="false">U112*(1+N($D$6)/12)</f>
        <v>0</v>
      </c>
      <c r="L113" s="43" t="n">
        <f aca="false">V112*(1+N($D$7)/12)</f>
        <v>0</v>
      </c>
      <c r="M113" s="43" t="n">
        <f aca="false">W112*(1+N($D$8)/12)</f>
        <v>0</v>
      </c>
      <c r="N113" s="43" t="n">
        <f aca="false">X112*(1+N($D$9)/12)</f>
        <v>0</v>
      </c>
      <c r="O113" s="43" t="n">
        <f aca="false">Y112*(1+N($D$10)/12)</f>
        <v>0</v>
      </c>
      <c r="P113" s="43" t="n">
        <f aca="false">MAX(0,MIN(K113,$C$14-(0)-(MIN(L113,N($E$7))+MIN(M113,N($E$8))+MIN(N113,N($E$9))+MIN(O113,N($E$10)))))</f>
        <v>0</v>
      </c>
      <c r="Q113" s="43" t="n">
        <f aca="false">MAX(0,MIN(L113,$C$14-(P113)-(MIN(M113,N($E$8))+MIN(N113,N($E$9))+MIN(O113,N($E$10)))))</f>
        <v>0</v>
      </c>
      <c r="R113" s="43" t="n">
        <f aca="false">MAX(0,MIN(M113,$C$14-(P113+Q113)-(MIN(N113,N($E$9))+MIN(O113,N($E$10)))))</f>
        <v>0</v>
      </c>
      <c r="S113" s="43" t="n">
        <f aca="false">MAX(0,MIN(N113,$C$14-(P113+Q113+R113)-(MIN(O113,N($E$10)))))</f>
        <v>0</v>
      </c>
      <c r="T113" s="43" t="n">
        <f aca="false">MAX(0,MIN(O113,$C$14-(P113+Q113+R113+S113)-(0)))</f>
        <v>0</v>
      </c>
      <c r="U113" s="43" t="n">
        <f aca="false">ROUND(K113-P113,2)</f>
        <v>0</v>
      </c>
      <c r="V113" s="43" t="n">
        <f aca="false">ROUND(L113-Q113,2)</f>
        <v>0</v>
      </c>
      <c r="W113" s="43" t="n">
        <f aca="false">ROUND(M113-R113,2)</f>
        <v>0</v>
      </c>
      <c r="X113" s="43" t="n">
        <f aca="false">ROUND(N113-S113,2)</f>
        <v>0</v>
      </c>
      <c r="Y113" s="43" t="n">
        <f aca="false">ROUND(O113-T113,2)</f>
        <v>0</v>
      </c>
      <c r="Z113" s="43" t="n">
        <f aca="false">SUM(U113:Y113)</f>
        <v>0</v>
      </c>
    </row>
    <row r="114" customFormat="false" ht="15" hidden="false" customHeight="false" outlineLevel="0" collapsed="false">
      <c r="J114" s="42" t="n">
        <f aca="false">EDATE($C$13,73)</f>
        <v>48611</v>
      </c>
      <c r="K114" s="43" t="n">
        <f aca="false">U113*(1+N($D$6)/12)</f>
        <v>0</v>
      </c>
      <c r="L114" s="43" t="n">
        <f aca="false">V113*(1+N($D$7)/12)</f>
        <v>0</v>
      </c>
      <c r="M114" s="43" t="n">
        <f aca="false">W113*(1+N($D$8)/12)</f>
        <v>0</v>
      </c>
      <c r="N114" s="43" t="n">
        <f aca="false">X113*(1+N($D$9)/12)</f>
        <v>0</v>
      </c>
      <c r="O114" s="43" t="n">
        <f aca="false">Y113*(1+N($D$10)/12)</f>
        <v>0</v>
      </c>
      <c r="P114" s="43" t="n">
        <f aca="false">MAX(0,MIN(K114,$C$14-(0)-(MIN(L114,N($E$7))+MIN(M114,N($E$8))+MIN(N114,N($E$9))+MIN(O114,N($E$10)))))</f>
        <v>0</v>
      </c>
      <c r="Q114" s="43" t="n">
        <f aca="false">MAX(0,MIN(L114,$C$14-(P114)-(MIN(M114,N($E$8))+MIN(N114,N($E$9))+MIN(O114,N($E$10)))))</f>
        <v>0</v>
      </c>
      <c r="R114" s="43" t="n">
        <f aca="false">MAX(0,MIN(M114,$C$14-(P114+Q114)-(MIN(N114,N($E$9))+MIN(O114,N($E$10)))))</f>
        <v>0</v>
      </c>
      <c r="S114" s="43" t="n">
        <f aca="false">MAX(0,MIN(N114,$C$14-(P114+Q114+R114)-(MIN(O114,N($E$10)))))</f>
        <v>0</v>
      </c>
      <c r="T114" s="43" t="n">
        <f aca="false">MAX(0,MIN(O114,$C$14-(P114+Q114+R114+S114)-(0)))</f>
        <v>0</v>
      </c>
      <c r="U114" s="43" t="n">
        <f aca="false">ROUND(K114-P114,2)</f>
        <v>0</v>
      </c>
      <c r="V114" s="43" t="n">
        <f aca="false">ROUND(L114-Q114,2)</f>
        <v>0</v>
      </c>
      <c r="W114" s="43" t="n">
        <f aca="false">ROUND(M114-R114,2)</f>
        <v>0</v>
      </c>
      <c r="X114" s="43" t="n">
        <f aca="false">ROUND(N114-S114,2)</f>
        <v>0</v>
      </c>
      <c r="Y114" s="43" t="n">
        <f aca="false">ROUND(O114-T114,2)</f>
        <v>0</v>
      </c>
      <c r="Z114" s="43" t="n">
        <f aca="false">SUM(U114:Y114)</f>
        <v>0</v>
      </c>
    </row>
    <row r="115" customFormat="false" ht="15" hidden="false" customHeight="false" outlineLevel="0" collapsed="false">
      <c r="J115" s="42" t="n">
        <f aca="false">EDATE($C$13,74)</f>
        <v>48639</v>
      </c>
      <c r="K115" s="43" t="n">
        <f aca="false">U114*(1+N($D$6)/12)</f>
        <v>0</v>
      </c>
      <c r="L115" s="43" t="n">
        <f aca="false">V114*(1+N($D$7)/12)</f>
        <v>0</v>
      </c>
      <c r="M115" s="43" t="n">
        <f aca="false">W114*(1+N($D$8)/12)</f>
        <v>0</v>
      </c>
      <c r="N115" s="43" t="n">
        <f aca="false">X114*(1+N($D$9)/12)</f>
        <v>0</v>
      </c>
      <c r="O115" s="43" t="n">
        <f aca="false">Y114*(1+N($D$10)/12)</f>
        <v>0</v>
      </c>
      <c r="P115" s="43" t="n">
        <f aca="false">MAX(0,MIN(K115,$C$14-(0)-(MIN(L115,N($E$7))+MIN(M115,N($E$8))+MIN(N115,N($E$9))+MIN(O115,N($E$10)))))</f>
        <v>0</v>
      </c>
      <c r="Q115" s="43" t="n">
        <f aca="false">MAX(0,MIN(L115,$C$14-(P115)-(MIN(M115,N($E$8))+MIN(N115,N($E$9))+MIN(O115,N($E$10)))))</f>
        <v>0</v>
      </c>
      <c r="R115" s="43" t="n">
        <f aca="false">MAX(0,MIN(M115,$C$14-(P115+Q115)-(MIN(N115,N($E$9))+MIN(O115,N($E$10)))))</f>
        <v>0</v>
      </c>
      <c r="S115" s="43" t="n">
        <f aca="false">MAX(0,MIN(N115,$C$14-(P115+Q115+R115)-(MIN(O115,N($E$10)))))</f>
        <v>0</v>
      </c>
      <c r="T115" s="43" t="n">
        <f aca="false">MAX(0,MIN(O115,$C$14-(P115+Q115+R115+S115)-(0)))</f>
        <v>0</v>
      </c>
      <c r="U115" s="43" t="n">
        <f aca="false">ROUND(K115-P115,2)</f>
        <v>0</v>
      </c>
      <c r="V115" s="43" t="n">
        <f aca="false">ROUND(L115-Q115,2)</f>
        <v>0</v>
      </c>
      <c r="W115" s="43" t="n">
        <f aca="false">ROUND(M115-R115,2)</f>
        <v>0</v>
      </c>
      <c r="X115" s="43" t="n">
        <f aca="false">ROUND(N115-S115,2)</f>
        <v>0</v>
      </c>
      <c r="Y115" s="43" t="n">
        <f aca="false">ROUND(O115-T115,2)</f>
        <v>0</v>
      </c>
      <c r="Z115" s="43" t="n">
        <f aca="false">SUM(U115:Y115)</f>
        <v>0</v>
      </c>
    </row>
    <row r="116" customFormat="false" ht="15" hidden="false" customHeight="false" outlineLevel="0" collapsed="false">
      <c r="J116" s="42" t="n">
        <f aca="false">EDATE($C$13,75)</f>
        <v>48670</v>
      </c>
      <c r="K116" s="43" t="n">
        <f aca="false">U115*(1+N($D$6)/12)</f>
        <v>0</v>
      </c>
      <c r="L116" s="43" t="n">
        <f aca="false">V115*(1+N($D$7)/12)</f>
        <v>0</v>
      </c>
      <c r="M116" s="43" t="n">
        <f aca="false">W115*(1+N($D$8)/12)</f>
        <v>0</v>
      </c>
      <c r="N116" s="43" t="n">
        <f aca="false">X115*(1+N($D$9)/12)</f>
        <v>0</v>
      </c>
      <c r="O116" s="43" t="n">
        <f aca="false">Y115*(1+N($D$10)/12)</f>
        <v>0</v>
      </c>
      <c r="P116" s="43" t="n">
        <f aca="false">MAX(0,MIN(K116,$C$14-(0)-(MIN(L116,N($E$7))+MIN(M116,N($E$8))+MIN(N116,N($E$9))+MIN(O116,N($E$10)))))</f>
        <v>0</v>
      </c>
      <c r="Q116" s="43" t="n">
        <f aca="false">MAX(0,MIN(L116,$C$14-(P116)-(MIN(M116,N($E$8))+MIN(N116,N($E$9))+MIN(O116,N($E$10)))))</f>
        <v>0</v>
      </c>
      <c r="R116" s="43" t="n">
        <f aca="false">MAX(0,MIN(M116,$C$14-(P116+Q116)-(MIN(N116,N($E$9))+MIN(O116,N($E$10)))))</f>
        <v>0</v>
      </c>
      <c r="S116" s="43" t="n">
        <f aca="false">MAX(0,MIN(N116,$C$14-(P116+Q116+R116)-(MIN(O116,N($E$10)))))</f>
        <v>0</v>
      </c>
      <c r="T116" s="43" t="n">
        <f aca="false">MAX(0,MIN(O116,$C$14-(P116+Q116+R116+S116)-(0)))</f>
        <v>0</v>
      </c>
      <c r="U116" s="43" t="n">
        <f aca="false">ROUND(K116-P116,2)</f>
        <v>0</v>
      </c>
      <c r="V116" s="43" t="n">
        <f aca="false">ROUND(L116-Q116,2)</f>
        <v>0</v>
      </c>
      <c r="W116" s="43" t="n">
        <f aca="false">ROUND(M116-R116,2)</f>
        <v>0</v>
      </c>
      <c r="X116" s="43" t="n">
        <f aca="false">ROUND(N116-S116,2)</f>
        <v>0</v>
      </c>
      <c r="Y116" s="43" t="n">
        <f aca="false">ROUND(O116-T116,2)</f>
        <v>0</v>
      </c>
      <c r="Z116" s="43" t="n">
        <f aca="false">SUM(U116:Y116)</f>
        <v>0</v>
      </c>
    </row>
    <row r="117" customFormat="false" ht="15" hidden="false" customHeight="false" outlineLevel="0" collapsed="false">
      <c r="J117" s="42" t="n">
        <f aca="false">EDATE($C$13,76)</f>
        <v>48700</v>
      </c>
      <c r="K117" s="43" t="n">
        <f aca="false">U116*(1+N($D$6)/12)</f>
        <v>0</v>
      </c>
      <c r="L117" s="43" t="n">
        <f aca="false">V116*(1+N($D$7)/12)</f>
        <v>0</v>
      </c>
      <c r="M117" s="43" t="n">
        <f aca="false">W116*(1+N($D$8)/12)</f>
        <v>0</v>
      </c>
      <c r="N117" s="43" t="n">
        <f aca="false">X116*(1+N($D$9)/12)</f>
        <v>0</v>
      </c>
      <c r="O117" s="43" t="n">
        <f aca="false">Y116*(1+N($D$10)/12)</f>
        <v>0</v>
      </c>
      <c r="P117" s="43" t="n">
        <f aca="false">MAX(0,MIN(K117,$C$14-(0)-(MIN(L117,N($E$7))+MIN(M117,N($E$8))+MIN(N117,N($E$9))+MIN(O117,N($E$10)))))</f>
        <v>0</v>
      </c>
      <c r="Q117" s="43" t="n">
        <f aca="false">MAX(0,MIN(L117,$C$14-(P117)-(MIN(M117,N($E$8))+MIN(N117,N($E$9))+MIN(O117,N($E$10)))))</f>
        <v>0</v>
      </c>
      <c r="R117" s="43" t="n">
        <f aca="false">MAX(0,MIN(M117,$C$14-(P117+Q117)-(MIN(N117,N($E$9))+MIN(O117,N($E$10)))))</f>
        <v>0</v>
      </c>
      <c r="S117" s="43" t="n">
        <f aca="false">MAX(0,MIN(N117,$C$14-(P117+Q117+R117)-(MIN(O117,N($E$10)))))</f>
        <v>0</v>
      </c>
      <c r="T117" s="43" t="n">
        <f aca="false">MAX(0,MIN(O117,$C$14-(P117+Q117+R117+S117)-(0)))</f>
        <v>0</v>
      </c>
      <c r="U117" s="43" t="n">
        <f aca="false">ROUND(K117-P117,2)</f>
        <v>0</v>
      </c>
      <c r="V117" s="43" t="n">
        <f aca="false">ROUND(L117-Q117,2)</f>
        <v>0</v>
      </c>
      <c r="W117" s="43" t="n">
        <f aca="false">ROUND(M117-R117,2)</f>
        <v>0</v>
      </c>
      <c r="X117" s="43" t="n">
        <f aca="false">ROUND(N117-S117,2)</f>
        <v>0</v>
      </c>
      <c r="Y117" s="43" t="n">
        <f aca="false">ROUND(O117-T117,2)</f>
        <v>0</v>
      </c>
      <c r="Z117" s="43" t="n">
        <f aca="false">SUM(U117:Y117)</f>
        <v>0</v>
      </c>
    </row>
    <row r="118" customFormat="false" ht="15" hidden="false" customHeight="false" outlineLevel="0" collapsed="false">
      <c r="J118" s="42" t="n">
        <f aca="false">EDATE($C$13,77)</f>
        <v>48731</v>
      </c>
      <c r="K118" s="43" t="n">
        <f aca="false">U117*(1+N($D$6)/12)</f>
        <v>0</v>
      </c>
      <c r="L118" s="43" t="n">
        <f aca="false">V117*(1+N($D$7)/12)</f>
        <v>0</v>
      </c>
      <c r="M118" s="43" t="n">
        <f aca="false">W117*(1+N($D$8)/12)</f>
        <v>0</v>
      </c>
      <c r="N118" s="43" t="n">
        <f aca="false">X117*(1+N($D$9)/12)</f>
        <v>0</v>
      </c>
      <c r="O118" s="43" t="n">
        <f aca="false">Y117*(1+N($D$10)/12)</f>
        <v>0</v>
      </c>
      <c r="P118" s="43" t="n">
        <f aca="false">MAX(0,MIN(K118,$C$14-(0)-(MIN(L118,N($E$7))+MIN(M118,N($E$8))+MIN(N118,N($E$9))+MIN(O118,N($E$10)))))</f>
        <v>0</v>
      </c>
      <c r="Q118" s="43" t="n">
        <f aca="false">MAX(0,MIN(L118,$C$14-(P118)-(MIN(M118,N($E$8))+MIN(N118,N($E$9))+MIN(O118,N($E$10)))))</f>
        <v>0</v>
      </c>
      <c r="R118" s="43" t="n">
        <f aca="false">MAX(0,MIN(M118,$C$14-(P118+Q118)-(MIN(N118,N($E$9))+MIN(O118,N($E$10)))))</f>
        <v>0</v>
      </c>
      <c r="S118" s="43" t="n">
        <f aca="false">MAX(0,MIN(N118,$C$14-(P118+Q118+R118)-(MIN(O118,N($E$10)))))</f>
        <v>0</v>
      </c>
      <c r="T118" s="43" t="n">
        <f aca="false">MAX(0,MIN(O118,$C$14-(P118+Q118+R118+S118)-(0)))</f>
        <v>0</v>
      </c>
      <c r="U118" s="43" t="n">
        <f aca="false">ROUND(K118-P118,2)</f>
        <v>0</v>
      </c>
      <c r="V118" s="43" t="n">
        <f aca="false">ROUND(L118-Q118,2)</f>
        <v>0</v>
      </c>
      <c r="W118" s="43" t="n">
        <f aca="false">ROUND(M118-R118,2)</f>
        <v>0</v>
      </c>
      <c r="X118" s="43" t="n">
        <f aca="false">ROUND(N118-S118,2)</f>
        <v>0</v>
      </c>
      <c r="Y118" s="43" t="n">
        <f aca="false">ROUND(O118-T118,2)</f>
        <v>0</v>
      </c>
      <c r="Z118" s="43" t="n">
        <f aca="false">SUM(U118:Y118)</f>
        <v>0</v>
      </c>
    </row>
    <row r="119" customFormat="false" ht="15" hidden="false" customHeight="false" outlineLevel="0" collapsed="false">
      <c r="J119" s="42" t="n">
        <f aca="false">EDATE($C$13,78)</f>
        <v>48761</v>
      </c>
      <c r="K119" s="43" t="n">
        <f aca="false">U118*(1+N($D$6)/12)</f>
        <v>0</v>
      </c>
      <c r="L119" s="43" t="n">
        <f aca="false">V118*(1+N($D$7)/12)</f>
        <v>0</v>
      </c>
      <c r="M119" s="43" t="n">
        <f aca="false">W118*(1+N($D$8)/12)</f>
        <v>0</v>
      </c>
      <c r="N119" s="43" t="n">
        <f aca="false">X118*(1+N($D$9)/12)</f>
        <v>0</v>
      </c>
      <c r="O119" s="43" t="n">
        <f aca="false">Y118*(1+N($D$10)/12)</f>
        <v>0</v>
      </c>
      <c r="P119" s="43" t="n">
        <f aca="false">MAX(0,MIN(K119,$C$14-(0)-(MIN(L119,N($E$7))+MIN(M119,N($E$8))+MIN(N119,N($E$9))+MIN(O119,N($E$10)))))</f>
        <v>0</v>
      </c>
      <c r="Q119" s="43" t="n">
        <f aca="false">MAX(0,MIN(L119,$C$14-(P119)-(MIN(M119,N($E$8))+MIN(N119,N($E$9))+MIN(O119,N($E$10)))))</f>
        <v>0</v>
      </c>
      <c r="R119" s="43" t="n">
        <f aca="false">MAX(0,MIN(M119,$C$14-(P119+Q119)-(MIN(N119,N($E$9))+MIN(O119,N($E$10)))))</f>
        <v>0</v>
      </c>
      <c r="S119" s="43" t="n">
        <f aca="false">MAX(0,MIN(N119,$C$14-(P119+Q119+R119)-(MIN(O119,N($E$10)))))</f>
        <v>0</v>
      </c>
      <c r="T119" s="43" t="n">
        <f aca="false">MAX(0,MIN(O119,$C$14-(P119+Q119+R119+S119)-(0)))</f>
        <v>0</v>
      </c>
      <c r="U119" s="43" t="n">
        <f aca="false">ROUND(K119-P119,2)</f>
        <v>0</v>
      </c>
      <c r="V119" s="43" t="n">
        <f aca="false">ROUND(L119-Q119,2)</f>
        <v>0</v>
      </c>
      <c r="W119" s="43" t="n">
        <f aca="false">ROUND(M119-R119,2)</f>
        <v>0</v>
      </c>
      <c r="X119" s="43" t="n">
        <f aca="false">ROUND(N119-S119,2)</f>
        <v>0</v>
      </c>
      <c r="Y119" s="43" t="n">
        <f aca="false">ROUND(O119-T119,2)</f>
        <v>0</v>
      </c>
      <c r="Z119" s="43" t="n">
        <f aca="false">SUM(U119:Y119)</f>
        <v>0</v>
      </c>
    </row>
    <row r="120" customFormat="false" ht="15" hidden="false" customHeight="false" outlineLevel="0" collapsed="false">
      <c r="J120" s="42" t="n">
        <f aca="false">EDATE($C$13,79)</f>
        <v>48792</v>
      </c>
      <c r="K120" s="43" t="n">
        <f aca="false">U119*(1+N($D$6)/12)</f>
        <v>0</v>
      </c>
      <c r="L120" s="43" t="n">
        <f aca="false">V119*(1+N($D$7)/12)</f>
        <v>0</v>
      </c>
      <c r="M120" s="43" t="n">
        <f aca="false">W119*(1+N($D$8)/12)</f>
        <v>0</v>
      </c>
      <c r="N120" s="43" t="n">
        <f aca="false">X119*(1+N($D$9)/12)</f>
        <v>0</v>
      </c>
      <c r="O120" s="43" t="n">
        <f aca="false">Y119*(1+N($D$10)/12)</f>
        <v>0</v>
      </c>
      <c r="P120" s="43" t="n">
        <f aca="false">MAX(0,MIN(K120,$C$14-(0)-(MIN(L120,N($E$7))+MIN(M120,N($E$8))+MIN(N120,N($E$9))+MIN(O120,N($E$10)))))</f>
        <v>0</v>
      </c>
      <c r="Q120" s="43" t="n">
        <f aca="false">MAX(0,MIN(L120,$C$14-(P120)-(MIN(M120,N($E$8))+MIN(N120,N($E$9))+MIN(O120,N($E$10)))))</f>
        <v>0</v>
      </c>
      <c r="R120" s="43" t="n">
        <f aca="false">MAX(0,MIN(M120,$C$14-(P120+Q120)-(MIN(N120,N($E$9))+MIN(O120,N($E$10)))))</f>
        <v>0</v>
      </c>
      <c r="S120" s="43" t="n">
        <f aca="false">MAX(0,MIN(N120,$C$14-(P120+Q120+R120)-(MIN(O120,N($E$10)))))</f>
        <v>0</v>
      </c>
      <c r="T120" s="43" t="n">
        <f aca="false">MAX(0,MIN(O120,$C$14-(P120+Q120+R120+S120)-(0)))</f>
        <v>0</v>
      </c>
      <c r="U120" s="43" t="n">
        <f aca="false">ROUND(K120-P120,2)</f>
        <v>0</v>
      </c>
      <c r="V120" s="43" t="n">
        <f aca="false">ROUND(L120-Q120,2)</f>
        <v>0</v>
      </c>
      <c r="W120" s="43" t="n">
        <f aca="false">ROUND(M120-R120,2)</f>
        <v>0</v>
      </c>
      <c r="X120" s="43" t="n">
        <f aca="false">ROUND(N120-S120,2)</f>
        <v>0</v>
      </c>
      <c r="Y120" s="43" t="n">
        <f aca="false">ROUND(O120-T120,2)</f>
        <v>0</v>
      </c>
      <c r="Z120" s="43" t="n">
        <f aca="false">SUM(U120:Y120)</f>
        <v>0</v>
      </c>
    </row>
    <row r="121" customFormat="false" ht="15" hidden="false" customHeight="false" outlineLevel="0" collapsed="false">
      <c r="J121" s="42" t="n">
        <f aca="false">EDATE($C$13,80)</f>
        <v>48823</v>
      </c>
      <c r="K121" s="43" t="n">
        <f aca="false">U120*(1+N($D$6)/12)</f>
        <v>0</v>
      </c>
      <c r="L121" s="43" t="n">
        <f aca="false">V120*(1+N($D$7)/12)</f>
        <v>0</v>
      </c>
      <c r="M121" s="43" t="n">
        <f aca="false">W120*(1+N($D$8)/12)</f>
        <v>0</v>
      </c>
      <c r="N121" s="43" t="n">
        <f aca="false">X120*(1+N($D$9)/12)</f>
        <v>0</v>
      </c>
      <c r="O121" s="43" t="n">
        <f aca="false">Y120*(1+N($D$10)/12)</f>
        <v>0</v>
      </c>
      <c r="P121" s="43" t="n">
        <f aca="false">MAX(0,MIN(K121,$C$14-(0)-(MIN(L121,N($E$7))+MIN(M121,N($E$8))+MIN(N121,N($E$9))+MIN(O121,N($E$10)))))</f>
        <v>0</v>
      </c>
      <c r="Q121" s="43" t="n">
        <f aca="false">MAX(0,MIN(L121,$C$14-(P121)-(MIN(M121,N($E$8))+MIN(N121,N($E$9))+MIN(O121,N($E$10)))))</f>
        <v>0</v>
      </c>
      <c r="R121" s="43" t="n">
        <f aca="false">MAX(0,MIN(M121,$C$14-(P121+Q121)-(MIN(N121,N($E$9))+MIN(O121,N($E$10)))))</f>
        <v>0</v>
      </c>
      <c r="S121" s="43" t="n">
        <f aca="false">MAX(0,MIN(N121,$C$14-(P121+Q121+R121)-(MIN(O121,N($E$10)))))</f>
        <v>0</v>
      </c>
      <c r="T121" s="43" t="n">
        <f aca="false">MAX(0,MIN(O121,$C$14-(P121+Q121+R121+S121)-(0)))</f>
        <v>0</v>
      </c>
      <c r="U121" s="43" t="n">
        <f aca="false">ROUND(K121-P121,2)</f>
        <v>0</v>
      </c>
      <c r="V121" s="43" t="n">
        <f aca="false">ROUND(L121-Q121,2)</f>
        <v>0</v>
      </c>
      <c r="W121" s="43" t="n">
        <f aca="false">ROUND(M121-R121,2)</f>
        <v>0</v>
      </c>
      <c r="X121" s="43" t="n">
        <f aca="false">ROUND(N121-S121,2)</f>
        <v>0</v>
      </c>
      <c r="Y121" s="43" t="n">
        <f aca="false">ROUND(O121-T121,2)</f>
        <v>0</v>
      </c>
      <c r="Z121" s="43" t="n">
        <f aca="false">SUM(U121:Y121)</f>
        <v>0</v>
      </c>
    </row>
    <row r="122" customFormat="false" ht="15" hidden="false" customHeight="false" outlineLevel="0" collapsed="false">
      <c r="J122" s="42" t="n">
        <f aca="false">EDATE($C$13,81)</f>
        <v>48853</v>
      </c>
      <c r="K122" s="43" t="n">
        <f aca="false">U121*(1+N($D$6)/12)</f>
        <v>0</v>
      </c>
      <c r="L122" s="43" t="n">
        <f aca="false">V121*(1+N($D$7)/12)</f>
        <v>0</v>
      </c>
      <c r="M122" s="43" t="n">
        <f aca="false">W121*(1+N($D$8)/12)</f>
        <v>0</v>
      </c>
      <c r="N122" s="43" t="n">
        <f aca="false">X121*(1+N($D$9)/12)</f>
        <v>0</v>
      </c>
      <c r="O122" s="43" t="n">
        <f aca="false">Y121*(1+N($D$10)/12)</f>
        <v>0</v>
      </c>
      <c r="P122" s="43" t="n">
        <f aca="false">MAX(0,MIN(K122,$C$14-(0)-(MIN(L122,N($E$7))+MIN(M122,N($E$8))+MIN(N122,N($E$9))+MIN(O122,N($E$10)))))</f>
        <v>0</v>
      </c>
      <c r="Q122" s="43" t="n">
        <f aca="false">MAX(0,MIN(L122,$C$14-(P122)-(MIN(M122,N($E$8))+MIN(N122,N($E$9))+MIN(O122,N($E$10)))))</f>
        <v>0</v>
      </c>
      <c r="R122" s="43" t="n">
        <f aca="false">MAX(0,MIN(M122,$C$14-(P122+Q122)-(MIN(N122,N($E$9))+MIN(O122,N($E$10)))))</f>
        <v>0</v>
      </c>
      <c r="S122" s="43" t="n">
        <f aca="false">MAX(0,MIN(N122,$C$14-(P122+Q122+R122)-(MIN(O122,N($E$10)))))</f>
        <v>0</v>
      </c>
      <c r="T122" s="43" t="n">
        <f aca="false">MAX(0,MIN(O122,$C$14-(P122+Q122+R122+S122)-(0)))</f>
        <v>0</v>
      </c>
      <c r="U122" s="43" t="n">
        <f aca="false">ROUND(K122-P122,2)</f>
        <v>0</v>
      </c>
      <c r="V122" s="43" t="n">
        <f aca="false">ROUND(L122-Q122,2)</f>
        <v>0</v>
      </c>
      <c r="W122" s="43" t="n">
        <f aca="false">ROUND(M122-R122,2)</f>
        <v>0</v>
      </c>
      <c r="X122" s="43" t="n">
        <f aca="false">ROUND(N122-S122,2)</f>
        <v>0</v>
      </c>
      <c r="Y122" s="43" t="n">
        <f aca="false">ROUND(O122-T122,2)</f>
        <v>0</v>
      </c>
      <c r="Z122" s="43" t="n">
        <f aca="false">SUM(U122:Y122)</f>
        <v>0</v>
      </c>
    </row>
    <row r="123" customFormat="false" ht="15" hidden="false" customHeight="false" outlineLevel="0" collapsed="false">
      <c r="J123" s="42" t="n">
        <f aca="false">EDATE($C$13,82)</f>
        <v>48884</v>
      </c>
      <c r="K123" s="43" t="n">
        <f aca="false">U122*(1+N($D$6)/12)</f>
        <v>0</v>
      </c>
      <c r="L123" s="43" t="n">
        <f aca="false">V122*(1+N($D$7)/12)</f>
        <v>0</v>
      </c>
      <c r="M123" s="43" t="n">
        <f aca="false">W122*(1+N($D$8)/12)</f>
        <v>0</v>
      </c>
      <c r="N123" s="43" t="n">
        <f aca="false">X122*(1+N($D$9)/12)</f>
        <v>0</v>
      </c>
      <c r="O123" s="43" t="n">
        <f aca="false">Y122*(1+N($D$10)/12)</f>
        <v>0</v>
      </c>
      <c r="P123" s="43" t="n">
        <f aca="false">MAX(0,MIN(K123,$C$14-(0)-(MIN(L123,N($E$7))+MIN(M123,N($E$8))+MIN(N123,N($E$9))+MIN(O123,N($E$10)))))</f>
        <v>0</v>
      </c>
      <c r="Q123" s="43" t="n">
        <f aca="false">MAX(0,MIN(L123,$C$14-(P123)-(MIN(M123,N($E$8))+MIN(N123,N($E$9))+MIN(O123,N($E$10)))))</f>
        <v>0</v>
      </c>
      <c r="R123" s="43" t="n">
        <f aca="false">MAX(0,MIN(M123,$C$14-(P123+Q123)-(MIN(N123,N($E$9))+MIN(O123,N($E$10)))))</f>
        <v>0</v>
      </c>
      <c r="S123" s="43" t="n">
        <f aca="false">MAX(0,MIN(N123,$C$14-(P123+Q123+R123)-(MIN(O123,N($E$10)))))</f>
        <v>0</v>
      </c>
      <c r="T123" s="43" t="n">
        <f aca="false">MAX(0,MIN(O123,$C$14-(P123+Q123+R123+S123)-(0)))</f>
        <v>0</v>
      </c>
      <c r="U123" s="43" t="n">
        <f aca="false">ROUND(K123-P123,2)</f>
        <v>0</v>
      </c>
      <c r="V123" s="43" t="n">
        <f aca="false">ROUND(L123-Q123,2)</f>
        <v>0</v>
      </c>
      <c r="W123" s="43" t="n">
        <f aca="false">ROUND(M123-R123,2)</f>
        <v>0</v>
      </c>
      <c r="X123" s="43" t="n">
        <f aca="false">ROUND(N123-S123,2)</f>
        <v>0</v>
      </c>
      <c r="Y123" s="43" t="n">
        <f aca="false">ROUND(O123-T123,2)</f>
        <v>0</v>
      </c>
      <c r="Z123" s="43" t="n">
        <f aca="false">SUM(U123:Y123)</f>
        <v>0</v>
      </c>
    </row>
    <row r="124" customFormat="false" ht="15" hidden="false" customHeight="false" outlineLevel="0" collapsed="false">
      <c r="J124" s="42" t="n">
        <f aca="false">EDATE($C$13,83)</f>
        <v>48914</v>
      </c>
      <c r="K124" s="43" t="n">
        <f aca="false">U123*(1+N($D$6)/12)</f>
        <v>0</v>
      </c>
      <c r="L124" s="43" t="n">
        <f aca="false">V123*(1+N($D$7)/12)</f>
        <v>0</v>
      </c>
      <c r="M124" s="43" t="n">
        <f aca="false">W123*(1+N($D$8)/12)</f>
        <v>0</v>
      </c>
      <c r="N124" s="43" t="n">
        <f aca="false">X123*(1+N($D$9)/12)</f>
        <v>0</v>
      </c>
      <c r="O124" s="43" t="n">
        <f aca="false">Y123*(1+N($D$10)/12)</f>
        <v>0</v>
      </c>
      <c r="P124" s="43" t="n">
        <f aca="false">MAX(0,MIN(K124,$C$14-(0)-(MIN(L124,N($E$7))+MIN(M124,N($E$8))+MIN(N124,N($E$9))+MIN(O124,N($E$10)))))</f>
        <v>0</v>
      </c>
      <c r="Q124" s="43" t="n">
        <f aca="false">MAX(0,MIN(L124,$C$14-(P124)-(MIN(M124,N($E$8))+MIN(N124,N($E$9))+MIN(O124,N($E$10)))))</f>
        <v>0</v>
      </c>
      <c r="R124" s="43" t="n">
        <f aca="false">MAX(0,MIN(M124,$C$14-(P124+Q124)-(MIN(N124,N($E$9))+MIN(O124,N($E$10)))))</f>
        <v>0</v>
      </c>
      <c r="S124" s="43" t="n">
        <f aca="false">MAX(0,MIN(N124,$C$14-(P124+Q124+R124)-(MIN(O124,N($E$10)))))</f>
        <v>0</v>
      </c>
      <c r="T124" s="43" t="n">
        <f aca="false">MAX(0,MIN(O124,$C$14-(P124+Q124+R124+S124)-(0)))</f>
        <v>0</v>
      </c>
      <c r="U124" s="43" t="n">
        <f aca="false">ROUND(K124-P124,2)</f>
        <v>0</v>
      </c>
      <c r="V124" s="43" t="n">
        <f aca="false">ROUND(L124-Q124,2)</f>
        <v>0</v>
      </c>
      <c r="W124" s="43" t="n">
        <f aca="false">ROUND(M124-R124,2)</f>
        <v>0</v>
      </c>
      <c r="X124" s="43" t="n">
        <f aca="false">ROUND(N124-S124,2)</f>
        <v>0</v>
      </c>
      <c r="Y124" s="43" t="n">
        <f aca="false">ROUND(O124-T124,2)</f>
        <v>0</v>
      </c>
      <c r="Z124" s="43" t="n">
        <f aca="false">SUM(U124:Y124)</f>
        <v>0</v>
      </c>
    </row>
    <row r="125" customFormat="false" ht="15" hidden="false" customHeight="false" outlineLevel="0" collapsed="false">
      <c r="J125" s="42" t="n">
        <f aca="false">EDATE($C$13,84)</f>
        <v>48945</v>
      </c>
      <c r="K125" s="43" t="n">
        <f aca="false">U124*(1+N($D$6)/12)</f>
        <v>0</v>
      </c>
      <c r="L125" s="43" t="n">
        <f aca="false">V124*(1+N($D$7)/12)</f>
        <v>0</v>
      </c>
      <c r="M125" s="43" t="n">
        <f aca="false">W124*(1+N($D$8)/12)</f>
        <v>0</v>
      </c>
      <c r="N125" s="43" t="n">
        <f aca="false">X124*(1+N($D$9)/12)</f>
        <v>0</v>
      </c>
      <c r="O125" s="43" t="n">
        <f aca="false">Y124*(1+N($D$10)/12)</f>
        <v>0</v>
      </c>
      <c r="P125" s="43" t="n">
        <f aca="false">MAX(0,MIN(K125,$C$14-(0)-(MIN(L125,N($E$7))+MIN(M125,N($E$8))+MIN(N125,N($E$9))+MIN(O125,N($E$10)))))</f>
        <v>0</v>
      </c>
      <c r="Q125" s="43" t="n">
        <f aca="false">MAX(0,MIN(L125,$C$14-(P125)-(MIN(M125,N($E$8))+MIN(N125,N($E$9))+MIN(O125,N($E$10)))))</f>
        <v>0</v>
      </c>
      <c r="R125" s="43" t="n">
        <f aca="false">MAX(0,MIN(M125,$C$14-(P125+Q125)-(MIN(N125,N($E$9))+MIN(O125,N($E$10)))))</f>
        <v>0</v>
      </c>
      <c r="S125" s="43" t="n">
        <f aca="false">MAX(0,MIN(N125,$C$14-(P125+Q125+R125)-(MIN(O125,N($E$10)))))</f>
        <v>0</v>
      </c>
      <c r="T125" s="43" t="n">
        <f aca="false">MAX(0,MIN(O125,$C$14-(P125+Q125+R125+S125)-(0)))</f>
        <v>0</v>
      </c>
      <c r="U125" s="43" t="n">
        <f aca="false">ROUND(K125-P125,2)</f>
        <v>0</v>
      </c>
      <c r="V125" s="43" t="n">
        <f aca="false">ROUND(L125-Q125,2)</f>
        <v>0</v>
      </c>
      <c r="W125" s="43" t="n">
        <f aca="false">ROUND(M125-R125,2)</f>
        <v>0</v>
      </c>
      <c r="X125" s="43" t="n">
        <f aca="false">ROUND(N125-S125,2)</f>
        <v>0</v>
      </c>
      <c r="Y125" s="43" t="n">
        <f aca="false">ROUND(O125-T125,2)</f>
        <v>0</v>
      </c>
      <c r="Z125" s="43" t="n">
        <f aca="false">SUM(U125:Y125)</f>
        <v>0</v>
      </c>
    </row>
    <row r="126" customFormat="false" ht="15" hidden="false" customHeight="false" outlineLevel="0" collapsed="false">
      <c r="J126" s="42" t="n">
        <f aca="false">EDATE($C$13,85)</f>
        <v>48976</v>
      </c>
      <c r="K126" s="43" t="n">
        <f aca="false">U125*(1+N($D$6)/12)</f>
        <v>0</v>
      </c>
      <c r="L126" s="43" t="n">
        <f aca="false">V125*(1+N($D$7)/12)</f>
        <v>0</v>
      </c>
      <c r="M126" s="43" t="n">
        <f aca="false">W125*(1+N($D$8)/12)</f>
        <v>0</v>
      </c>
      <c r="N126" s="43" t="n">
        <f aca="false">X125*(1+N($D$9)/12)</f>
        <v>0</v>
      </c>
      <c r="O126" s="43" t="n">
        <f aca="false">Y125*(1+N($D$10)/12)</f>
        <v>0</v>
      </c>
      <c r="P126" s="43" t="n">
        <f aca="false">MAX(0,MIN(K126,$C$14-(0)-(MIN(L126,N($E$7))+MIN(M126,N($E$8))+MIN(N126,N($E$9))+MIN(O126,N($E$10)))))</f>
        <v>0</v>
      </c>
      <c r="Q126" s="43" t="n">
        <f aca="false">MAX(0,MIN(L126,$C$14-(P126)-(MIN(M126,N($E$8))+MIN(N126,N($E$9))+MIN(O126,N($E$10)))))</f>
        <v>0</v>
      </c>
      <c r="R126" s="43" t="n">
        <f aca="false">MAX(0,MIN(M126,$C$14-(P126+Q126)-(MIN(N126,N($E$9))+MIN(O126,N($E$10)))))</f>
        <v>0</v>
      </c>
      <c r="S126" s="43" t="n">
        <f aca="false">MAX(0,MIN(N126,$C$14-(P126+Q126+R126)-(MIN(O126,N($E$10)))))</f>
        <v>0</v>
      </c>
      <c r="T126" s="43" t="n">
        <f aca="false">MAX(0,MIN(O126,$C$14-(P126+Q126+R126+S126)-(0)))</f>
        <v>0</v>
      </c>
      <c r="U126" s="43" t="n">
        <f aca="false">ROUND(K126-P126,2)</f>
        <v>0</v>
      </c>
      <c r="V126" s="43" t="n">
        <f aca="false">ROUND(L126-Q126,2)</f>
        <v>0</v>
      </c>
      <c r="W126" s="43" t="n">
        <f aca="false">ROUND(M126-R126,2)</f>
        <v>0</v>
      </c>
      <c r="X126" s="43" t="n">
        <f aca="false">ROUND(N126-S126,2)</f>
        <v>0</v>
      </c>
      <c r="Y126" s="43" t="n">
        <f aca="false">ROUND(O126-T126,2)</f>
        <v>0</v>
      </c>
      <c r="Z126" s="43" t="n">
        <f aca="false">SUM(U126:Y126)</f>
        <v>0</v>
      </c>
    </row>
    <row r="127" customFormat="false" ht="15" hidden="false" customHeight="false" outlineLevel="0" collapsed="false">
      <c r="J127" s="42" t="n">
        <f aca="false">EDATE($C$13,86)</f>
        <v>49004</v>
      </c>
      <c r="K127" s="43" t="n">
        <f aca="false">U126*(1+N($D$6)/12)</f>
        <v>0</v>
      </c>
      <c r="L127" s="43" t="n">
        <f aca="false">V126*(1+N($D$7)/12)</f>
        <v>0</v>
      </c>
      <c r="M127" s="43" t="n">
        <f aca="false">W126*(1+N($D$8)/12)</f>
        <v>0</v>
      </c>
      <c r="N127" s="43" t="n">
        <f aca="false">X126*(1+N($D$9)/12)</f>
        <v>0</v>
      </c>
      <c r="O127" s="43" t="n">
        <f aca="false">Y126*(1+N($D$10)/12)</f>
        <v>0</v>
      </c>
      <c r="P127" s="43" t="n">
        <f aca="false">MAX(0,MIN(K127,$C$14-(0)-(MIN(L127,N($E$7))+MIN(M127,N($E$8))+MIN(N127,N($E$9))+MIN(O127,N($E$10)))))</f>
        <v>0</v>
      </c>
      <c r="Q127" s="43" t="n">
        <f aca="false">MAX(0,MIN(L127,$C$14-(P127)-(MIN(M127,N($E$8))+MIN(N127,N($E$9))+MIN(O127,N($E$10)))))</f>
        <v>0</v>
      </c>
      <c r="R127" s="43" t="n">
        <f aca="false">MAX(0,MIN(M127,$C$14-(P127+Q127)-(MIN(N127,N($E$9))+MIN(O127,N($E$10)))))</f>
        <v>0</v>
      </c>
      <c r="S127" s="43" t="n">
        <f aca="false">MAX(0,MIN(N127,$C$14-(P127+Q127+R127)-(MIN(O127,N($E$10)))))</f>
        <v>0</v>
      </c>
      <c r="T127" s="43" t="n">
        <f aca="false">MAX(0,MIN(O127,$C$14-(P127+Q127+R127+S127)-(0)))</f>
        <v>0</v>
      </c>
      <c r="U127" s="43" t="n">
        <f aca="false">ROUND(K127-P127,2)</f>
        <v>0</v>
      </c>
      <c r="V127" s="43" t="n">
        <f aca="false">ROUND(L127-Q127,2)</f>
        <v>0</v>
      </c>
      <c r="W127" s="43" t="n">
        <f aca="false">ROUND(M127-R127,2)</f>
        <v>0</v>
      </c>
      <c r="X127" s="43" t="n">
        <f aca="false">ROUND(N127-S127,2)</f>
        <v>0</v>
      </c>
      <c r="Y127" s="43" t="n">
        <f aca="false">ROUND(O127-T127,2)</f>
        <v>0</v>
      </c>
      <c r="Z127" s="43" t="n">
        <f aca="false">SUM(U127:Y127)</f>
        <v>0</v>
      </c>
    </row>
    <row r="128" customFormat="false" ht="15" hidden="false" customHeight="false" outlineLevel="0" collapsed="false">
      <c r="J128" s="42" t="n">
        <f aca="false">EDATE($C$13,87)</f>
        <v>49035</v>
      </c>
      <c r="K128" s="43" t="n">
        <f aca="false">U127*(1+N($D$6)/12)</f>
        <v>0</v>
      </c>
      <c r="L128" s="43" t="n">
        <f aca="false">V127*(1+N($D$7)/12)</f>
        <v>0</v>
      </c>
      <c r="M128" s="43" t="n">
        <f aca="false">W127*(1+N($D$8)/12)</f>
        <v>0</v>
      </c>
      <c r="N128" s="43" t="n">
        <f aca="false">X127*(1+N($D$9)/12)</f>
        <v>0</v>
      </c>
      <c r="O128" s="43" t="n">
        <f aca="false">Y127*(1+N($D$10)/12)</f>
        <v>0</v>
      </c>
      <c r="P128" s="43" t="n">
        <f aca="false">MAX(0,MIN(K128,$C$14-(0)-(MIN(L128,N($E$7))+MIN(M128,N($E$8))+MIN(N128,N($E$9))+MIN(O128,N($E$10)))))</f>
        <v>0</v>
      </c>
      <c r="Q128" s="43" t="n">
        <f aca="false">MAX(0,MIN(L128,$C$14-(P128)-(MIN(M128,N($E$8))+MIN(N128,N($E$9))+MIN(O128,N($E$10)))))</f>
        <v>0</v>
      </c>
      <c r="R128" s="43" t="n">
        <f aca="false">MAX(0,MIN(M128,$C$14-(P128+Q128)-(MIN(N128,N($E$9))+MIN(O128,N($E$10)))))</f>
        <v>0</v>
      </c>
      <c r="S128" s="43" t="n">
        <f aca="false">MAX(0,MIN(N128,$C$14-(P128+Q128+R128)-(MIN(O128,N($E$10)))))</f>
        <v>0</v>
      </c>
      <c r="T128" s="43" t="n">
        <f aca="false">MAX(0,MIN(O128,$C$14-(P128+Q128+R128+S128)-(0)))</f>
        <v>0</v>
      </c>
      <c r="U128" s="43" t="n">
        <f aca="false">ROUND(K128-P128,2)</f>
        <v>0</v>
      </c>
      <c r="V128" s="43" t="n">
        <f aca="false">ROUND(L128-Q128,2)</f>
        <v>0</v>
      </c>
      <c r="W128" s="43" t="n">
        <f aca="false">ROUND(M128-R128,2)</f>
        <v>0</v>
      </c>
      <c r="X128" s="43" t="n">
        <f aca="false">ROUND(N128-S128,2)</f>
        <v>0</v>
      </c>
      <c r="Y128" s="43" t="n">
        <f aca="false">ROUND(O128-T128,2)</f>
        <v>0</v>
      </c>
      <c r="Z128" s="43" t="n">
        <f aca="false">SUM(U128:Y128)</f>
        <v>0</v>
      </c>
    </row>
    <row r="129" customFormat="false" ht="15" hidden="false" customHeight="false" outlineLevel="0" collapsed="false">
      <c r="J129" s="42" t="n">
        <f aca="false">EDATE($C$13,88)</f>
        <v>49065</v>
      </c>
      <c r="K129" s="43" t="n">
        <f aca="false">U128*(1+N($D$6)/12)</f>
        <v>0</v>
      </c>
      <c r="L129" s="43" t="n">
        <f aca="false">V128*(1+N($D$7)/12)</f>
        <v>0</v>
      </c>
      <c r="M129" s="43" t="n">
        <f aca="false">W128*(1+N($D$8)/12)</f>
        <v>0</v>
      </c>
      <c r="N129" s="43" t="n">
        <f aca="false">X128*(1+N($D$9)/12)</f>
        <v>0</v>
      </c>
      <c r="O129" s="43" t="n">
        <f aca="false">Y128*(1+N($D$10)/12)</f>
        <v>0</v>
      </c>
      <c r="P129" s="43" t="n">
        <f aca="false">MAX(0,MIN(K129,$C$14-(0)-(MIN(L129,N($E$7))+MIN(M129,N($E$8))+MIN(N129,N($E$9))+MIN(O129,N($E$10)))))</f>
        <v>0</v>
      </c>
      <c r="Q129" s="43" t="n">
        <f aca="false">MAX(0,MIN(L129,$C$14-(P129)-(MIN(M129,N($E$8))+MIN(N129,N($E$9))+MIN(O129,N($E$10)))))</f>
        <v>0</v>
      </c>
      <c r="R129" s="43" t="n">
        <f aca="false">MAX(0,MIN(M129,$C$14-(P129+Q129)-(MIN(N129,N($E$9))+MIN(O129,N($E$10)))))</f>
        <v>0</v>
      </c>
      <c r="S129" s="43" t="n">
        <f aca="false">MAX(0,MIN(N129,$C$14-(P129+Q129+R129)-(MIN(O129,N($E$10)))))</f>
        <v>0</v>
      </c>
      <c r="T129" s="43" t="n">
        <f aca="false">MAX(0,MIN(O129,$C$14-(P129+Q129+R129+S129)-(0)))</f>
        <v>0</v>
      </c>
      <c r="U129" s="43" t="n">
        <f aca="false">ROUND(K129-P129,2)</f>
        <v>0</v>
      </c>
      <c r="V129" s="43" t="n">
        <f aca="false">ROUND(L129-Q129,2)</f>
        <v>0</v>
      </c>
      <c r="W129" s="43" t="n">
        <f aca="false">ROUND(M129-R129,2)</f>
        <v>0</v>
      </c>
      <c r="X129" s="43" t="n">
        <f aca="false">ROUND(N129-S129,2)</f>
        <v>0</v>
      </c>
      <c r="Y129" s="43" t="n">
        <f aca="false">ROUND(O129-T129,2)</f>
        <v>0</v>
      </c>
      <c r="Z129" s="43" t="n">
        <f aca="false">SUM(U129:Y129)</f>
        <v>0</v>
      </c>
    </row>
    <row r="130" customFormat="false" ht="15" hidden="false" customHeight="false" outlineLevel="0" collapsed="false">
      <c r="J130" s="42" t="n">
        <f aca="false">EDATE($C$13,89)</f>
        <v>49096</v>
      </c>
      <c r="K130" s="43" t="n">
        <f aca="false">U129*(1+N($D$6)/12)</f>
        <v>0</v>
      </c>
      <c r="L130" s="43" t="n">
        <f aca="false">V129*(1+N($D$7)/12)</f>
        <v>0</v>
      </c>
      <c r="M130" s="43" t="n">
        <f aca="false">W129*(1+N($D$8)/12)</f>
        <v>0</v>
      </c>
      <c r="N130" s="43" t="n">
        <f aca="false">X129*(1+N($D$9)/12)</f>
        <v>0</v>
      </c>
      <c r="O130" s="43" t="n">
        <f aca="false">Y129*(1+N($D$10)/12)</f>
        <v>0</v>
      </c>
      <c r="P130" s="43" t="n">
        <f aca="false">MAX(0,MIN(K130,$C$14-(0)-(MIN(L130,N($E$7))+MIN(M130,N($E$8))+MIN(N130,N($E$9))+MIN(O130,N($E$10)))))</f>
        <v>0</v>
      </c>
      <c r="Q130" s="43" t="n">
        <f aca="false">MAX(0,MIN(L130,$C$14-(P130)-(MIN(M130,N($E$8))+MIN(N130,N($E$9))+MIN(O130,N($E$10)))))</f>
        <v>0</v>
      </c>
      <c r="R130" s="43" t="n">
        <f aca="false">MAX(0,MIN(M130,$C$14-(P130+Q130)-(MIN(N130,N($E$9))+MIN(O130,N($E$10)))))</f>
        <v>0</v>
      </c>
      <c r="S130" s="43" t="n">
        <f aca="false">MAX(0,MIN(N130,$C$14-(P130+Q130+R130)-(MIN(O130,N($E$10)))))</f>
        <v>0</v>
      </c>
      <c r="T130" s="43" t="n">
        <f aca="false">MAX(0,MIN(O130,$C$14-(P130+Q130+R130+S130)-(0)))</f>
        <v>0</v>
      </c>
      <c r="U130" s="43" t="n">
        <f aca="false">ROUND(K130-P130,2)</f>
        <v>0</v>
      </c>
      <c r="V130" s="43" t="n">
        <f aca="false">ROUND(L130-Q130,2)</f>
        <v>0</v>
      </c>
      <c r="W130" s="43" t="n">
        <f aca="false">ROUND(M130-R130,2)</f>
        <v>0</v>
      </c>
      <c r="X130" s="43" t="n">
        <f aca="false">ROUND(N130-S130,2)</f>
        <v>0</v>
      </c>
      <c r="Y130" s="43" t="n">
        <f aca="false">ROUND(O130-T130,2)</f>
        <v>0</v>
      </c>
      <c r="Z130" s="43" t="n">
        <f aca="false">SUM(U130:Y130)</f>
        <v>0</v>
      </c>
    </row>
    <row r="131" customFormat="false" ht="15" hidden="false" customHeight="false" outlineLevel="0" collapsed="false">
      <c r="J131" s="42" t="n">
        <f aca="false">EDATE($C$13,90)</f>
        <v>49126</v>
      </c>
      <c r="K131" s="43" t="n">
        <f aca="false">U130*(1+N($D$6)/12)</f>
        <v>0</v>
      </c>
      <c r="L131" s="43" t="n">
        <f aca="false">V130*(1+N($D$7)/12)</f>
        <v>0</v>
      </c>
      <c r="M131" s="43" t="n">
        <f aca="false">W130*(1+N($D$8)/12)</f>
        <v>0</v>
      </c>
      <c r="N131" s="43" t="n">
        <f aca="false">X130*(1+N($D$9)/12)</f>
        <v>0</v>
      </c>
      <c r="O131" s="43" t="n">
        <f aca="false">Y130*(1+N($D$10)/12)</f>
        <v>0</v>
      </c>
      <c r="P131" s="43" t="n">
        <f aca="false">MAX(0,MIN(K131,$C$14-(0)-(MIN(L131,N($E$7))+MIN(M131,N($E$8))+MIN(N131,N($E$9))+MIN(O131,N($E$10)))))</f>
        <v>0</v>
      </c>
      <c r="Q131" s="43" t="n">
        <f aca="false">MAX(0,MIN(L131,$C$14-(P131)-(MIN(M131,N($E$8))+MIN(N131,N($E$9))+MIN(O131,N($E$10)))))</f>
        <v>0</v>
      </c>
      <c r="R131" s="43" t="n">
        <f aca="false">MAX(0,MIN(M131,$C$14-(P131+Q131)-(MIN(N131,N($E$9))+MIN(O131,N($E$10)))))</f>
        <v>0</v>
      </c>
      <c r="S131" s="43" t="n">
        <f aca="false">MAX(0,MIN(N131,$C$14-(P131+Q131+R131)-(MIN(O131,N($E$10)))))</f>
        <v>0</v>
      </c>
      <c r="T131" s="43" t="n">
        <f aca="false">MAX(0,MIN(O131,$C$14-(P131+Q131+R131+S131)-(0)))</f>
        <v>0</v>
      </c>
      <c r="U131" s="43" t="n">
        <f aca="false">ROUND(K131-P131,2)</f>
        <v>0</v>
      </c>
      <c r="V131" s="43" t="n">
        <f aca="false">ROUND(L131-Q131,2)</f>
        <v>0</v>
      </c>
      <c r="W131" s="43" t="n">
        <f aca="false">ROUND(M131-R131,2)</f>
        <v>0</v>
      </c>
      <c r="X131" s="43" t="n">
        <f aca="false">ROUND(N131-S131,2)</f>
        <v>0</v>
      </c>
      <c r="Y131" s="43" t="n">
        <f aca="false">ROUND(O131-T131,2)</f>
        <v>0</v>
      </c>
      <c r="Z131" s="43" t="n">
        <f aca="false">SUM(U131:Y131)</f>
        <v>0</v>
      </c>
    </row>
    <row r="132" customFormat="false" ht="15" hidden="false" customHeight="false" outlineLevel="0" collapsed="false">
      <c r="J132" s="42" t="n">
        <f aca="false">EDATE($C$13,91)</f>
        <v>49157</v>
      </c>
      <c r="K132" s="43" t="n">
        <f aca="false">U131*(1+N($D$6)/12)</f>
        <v>0</v>
      </c>
      <c r="L132" s="43" t="n">
        <f aca="false">V131*(1+N($D$7)/12)</f>
        <v>0</v>
      </c>
      <c r="M132" s="43" t="n">
        <f aca="false">W131*(1+N($D$8)/12)</f>
        <v>0</v>
      </c>
      <c r="N132" s="43" t="n">
        <f aca="false">X131*(1+N($D$9)/12)</f>
        <v>0</v>
      </c>
      <c r="O132" s="43" t="n">
        <f aca="false">Y131*(1+N($D$10)/12)</f>
        <v>0</v>
      </c>
      <c r="P132" s="43" t="n">
        <f aca="false">MAX(0,MIN(K132,$C$14-(0)-(MIN(L132,N($E$7))+MIN(M132,N($E$8))+MIN(N132,N($E$9))+MIN(O132,N($E$10)))))</f>
        <v>0</v>
      </c>
      <c r="Q132" s="43" t="n">
        <f aca="false">MAX(0,MIN(L132,$C$14-(P132)-(MIN(M132,N($E$8))+MIN(N132,N($E$9))+MIN(O132,N($E$10)))))</f>
        <v>0</v>
      </c>
      <c r="R132" s="43" t="n">
        <f aca="false">MAX(0,MIN(M132,$C$14-(P132+Q132)-(MIN(N132,N($E$9))+MIN(O132,N($E$10)))))</f>
        <v>0</v>
      </c>
      <c r="S132" s="43" t="n">
        <f aca="false">MAX(0,MIN(N132,$C$14-(P132+Q132+R132)-(MIN(O132,N($E$10)))))</f>
        <v>0</v>
      </c>
      <c r="T132" s="43" t="n">
        <f aca="false">MAX(0,MIN(O132,$C$14-(P132+Q132+R132+S132)-(0)))</f>
        <v>0</v>
      </c>
      <c r="U132" s="43" t="n">
        <f aca="false">ROUND(K132-P132,2)</f>
        <v>0</v>
      </c>
      <c r="V132" s="43" t="n">
        <f aca="false">ROUND(L132-Q132,2)</f>
        <v>0</v>
      </c>
      <c r="W132" s="43" t="n">
        <f aca="false">ROUND(M132-R132,2)</f>
        <v>0</v>
      </c>
      <c r="X132" s="43" t="n">
        <f aca="false">ROUND(N132-S132,2)</f>
        <v>0</v>
      </c>
      <c r="Y132" s="43" t="n">
        <f aca="false">ROUND(O132-T132,2)</f>
        <v>0</v>
      </c>
      <c r="Z132" s="43" t="n">
        <f aca="false">SUM(U132:Y132)</f>
        <v>0</v>
      </c>
    </row>
    <row r="133" customFormat="false" ht="15" hidden="false" customHeight="false" outlineLevel="0" collapsed="false">
      <c r="J133" s="42" t="n">
        <f aca="false">EDATE($C$13,92)</f>
        <v>49188</v>
      </c>
      <c r="K133" s="43" t="n">
        <f aca="false">U132*(1+N($D$6)/12)</f>
        <v>0</v>
      </c>
      <c r="L133" s="43" t="n">
        <f aca="false">V132*(1+N($D$7)/12)</f>
        <v>0</v>
      </c>
      <c r="M133" s="43" t="n">
        <f aca="false">W132*(1+N($D$8)/12)</f>
        <v>0</v>
      </c>
      <c r="N133" s="43" t="n">
        <f aca="false">X132*(1+N($D$9)/12)</f>
        <v>0</v>
      </c>
      <c r="O133" s="43" t="n">
        <f aca="false">Y132*(1+N($D$10)/12)</f>
        <v>0</v>
      </c>
      <c r="P133" s="43" t="n">
        <f aca="false">MAX(0,MIN(K133,$C$14-(0)-(MIN(L133,N($E$7))+MIN(M133,N($E$8))+MIN(N133,N($E$9))+MIN(O133,N($E$10)))))</f>
        <v>0</v>
      </c>
      <c r="Q133" s="43" t="n">
        <f aca="false">MAX(0,MIN(L133,$C$14-(P133)-(MIN(M133,N($E$8))+MIN(N133,N($E$9))+MIN(O133,N($E$10)))))</f>
        <v>0</v>
      </c>
      <c r="R133" s="43" t="n">
        <f aca="false">MAX(0,MIN(M133,$C$14-(P133+Q133)-(MIN(N133,N($E$9))+MIN(O133,N($E$10)))))</f>
        <v>0</v>
      </c>
      <c r="S133" s="43" t="n">
        <f aca="false">MAX(0,MIN(N133,$C$14-(P133+Q133+R133)-(MIN(O133,N($E$10)))))</f>
        <v>0</v>
      </c>
      <c r="T133" s="43" t="n">
        <f aca="false">MAX(0,MIN(O133,$C$14-(P133+Q133+R133+S133)-(0)))</f>
        <v>0</v>
      </c>
      <c r="U133" s="43" t="n">
        <f aca="false">ROUND(K133-P133,2)</f>
        <v>0</v>
      </c>
      <c r="V133" s="43" t="n">
        <f aca="false">ROUND(L133-Q133,2)</f>
        <v>0</v>
      </c>
      <c r="W133" s="43" t="n">
        <f aca="false">ROUND(M133-R133,2)</f>
        <v>0</v>
      </c>
      <c r="X133" s="43" t="n">
        <f aca="false">ROUND(N133-S133,2)</f>
        <v>0</v>
      </c>
      <c r="Y133" s="43" t="n">
        <f aca="false">ROUND(O133-T133,2)</f>
        <v>0</v>
      </c>
      <c r="Z133" s="43" t="n">
        <f aca="false">SUM(U133:Y133)</f>
        <v>0</v>
      </c>
    </row>
    <row r="134" customFormat="false" ht="15" hidden="false" customHeight="false" outlineLevel="0" collapsed="false">
      <c r="J134" s="42" t="n">
        <f aca="false">EDATE($C$13,93)</f>
        <v>49218</v>
      </c>
      <c r="K134" s="43" t="n">
        <f aca="false">U133*(1+N($D$6)/12)</f>
        <v>0</v>
      </c>
      <c r="L134" s="43" t="n">
        <f aca="false">V133*(1+N($D$7)/12)</f>
        <v>0</v>
      </c>
      <c r="M134" s="43" t="n">
        <f aca="false">W133*(1+N($D$8)/12)</f>
        <v>0</v>
      </c>
      <c r="N134" s="43" t="n">
        <f aca="false">X133*(1+N($D$9)/12)</f>
        <v>0</v>
      </c>
      <c r="O134" s="43" t="n">
        <f aca="false">Y133*(1+N($D$10)/12)</f>
        <v>0</v>
      </c>
      <c r="P134" s="43" t="n">
        <f aca="false">MAX(0,MIN(K134,$C$14-(0)-(MIN(L134,N($E$7))+MIN(M134,N($E$8))+MIN(N134,N($E$9))+MIN(O134,N($E$10)))))</f>
        <v>0</v>
      </c>
      <c r="Q134" s="43" t="n">
        <f aca="false">MAX(0,MIN(L134,$C$14-(P134)-(MIN(M134,N($E$8))+MIN(N134,N($E$9))+MIN(O134,N($E$10)))))</f>
        <v>0</v>
      </c>
      <c r="R134" s="43" t="n">
        <f aca="false">MAX(0,MIN(M134,$C$14-(P134+Q134)-(MIN(N134,N($E$9))+MIN(O134,N($E$10)))))</f>
        <v>0</v>
      </c>
      <c r="S134" s="43" t="n">
        <f aca="false">MAX(0,MIN(N134,$C$14-(P134+Q134+R134)-(MIN(O134,N($E$10)))))</f>
        <v>0</v>
      </c>
      <c r="T134" s="43" t="n">
        <f aca="false">MAX(0,MIN(O134,$C$14-(P134+Q134+R134+S134)-(0)))</f>
        <v>0</v>
      </c>
      <c r="U134" s="43" t="n">
        <f aca="false">ROUND(K134-P134,2)</f>
        <v>0</v>
      </c>
      <c r="V134" s="43" t="n">
        <f aca="false">ROUND(L134-Q134,2)</f>
        <v>0</v>
      </c>
      <c r="W134" s="43" t="n">
        <f aca="false">ROUND(M134-R134,2)</f>
        <v>0</v>
      </c>
      <c r="X134" s="43" t="n">
        <f aca="false">ROUND(N134-S134,2)</f>
        <v>0</v>
      </c>
      <c r="Y134" s="43" t="n">
        <f aca="false">ROUND(O134-T134,2)</f>
        <v>0</v>
      </c>
      <c r="Z134" s="43" t="n">
        <f aca="false">SUM(U134:Y134)</f>
        <v>0</v>
      </c>
    </row>
    <row r="135" customFormat="false" ht="15" hidden="false" customHeight="false" outlineLevel="0" collapsed="false">
      <c r="J135" s="42" t="n">
        <f aca="false">EDATE($C$13,94)</f>
        <v>49249</v>
      </c>
      <c r="K135" s="43" t="n">
        <f aca="false">U134*(1+N($D$6)/12)</f>
        <v>0</v>
      </c>
      <c r="L135" s="43" t="n">
        <f aca="false">V134*(1+N($D$7)/12)</f>
        <v>0</v>
      </c>
      <c r="M135" s="43" t="n">
        <f aca="false">W134*(1+N($D$8)/12)</f>
        <v>0</v>
      </c>
      <c r="N135" s="43" t="n">
        <f aca="false">X134*(1+N($D$9)/12)</f>
        <v>0</v>
      </c>
      <c r="O135" s="43" t="n">
        <f aca="false">Y134*(1+N($D$10)/12)</f>
        <v>0</v>
      </c>
      <c r="P135" s="43" t="n">
        <f aca="false">MAX(0,MIN(K135,$C$14-(0)-(MIN(L135,N($E$7))+MIN(M135,N($E$8))+MIN(N135,N($E$9))+MIN(O135,N($E$10)))))</f>
        <v>0</v>
      </c>
      <c r="Q135" s="43" t="n">
        <f aca="false">MAX(0,MIN(L135,$C$14-(P135)-(MIN(M135,N($E$8))+MIN(N135,N($E$9))+MIN(O135,N($E$10)))))</f>
        <v>0</v>
      </c>
      <c r="R135" s="43" t="n">
        <f aca="false">MAX(0,MIN(M135,$C$14-(P135+Q135)-(MIN(N135,N($E$9))+MIN(O135,N($E$10)))))</f>
        <v>0</v>
      </c>
      <c r="S135" s="43" t="n">
        <f aca="false">MAX(0,MIN(N135,$C$14-(P135+Q135+R135)-(MIN(O135,N($E$10)))))</f>
        <v>0</v>
      </c>
      <c r="T135" s="43" t="n">
        <f aca="false">MAX(0,MIN(O135,$C$14-(P135+Q135+R135+S135)-(0)))</f>
        <v>0</v>
      </c>
      <c r="U135" s="43" t="n">
        <f aca="false">ROUND(K135-P135,2)</f>
        <v>0</v>
      </c>
      <c r="V135" s="43" t="n">
        <f aca="false">ROUND(L135-Q135,2)</f>
        <v>0</v>
      </c>
      <c r="W135" s="43" t="n">
        <f aca="false">ROUND(M135-R135,2)</f>
        <v>0</v>
      </c>
      <c r="X135" s="43" t="n">
        <f aca="false">ROUND(N135-S135,2)</f>
        <v>0</v>
      </c>
      <c r="Y135" s="43" t="n">
        <f aca="false">ROUND(O135-T135,2)</f>
        <v>0</v>
      </c>
      <c r="Z135" s="43" t="n">
        <f aca="false">SUM(U135:Y135)</f>
        <v>0</v>
      </c>
    </row>
    <row r="136" customFormat="false" ht="15" hidden="false" customHeight="false" outlineLevel="0" collapsed="false">
      <c r="J136" s="42" t="n">
        <f aca="false">EDATE($C$13,95)</f>
        <v>49279</v>
      </c>
      <c r="K136" s="43" t="n">
        <f aca="false">U135*(1+N($D$6)/12)</f>
        <v>0</v>
      </c>
      <c r="L136" s="43" t="n">
        <f aca="false">V135*(1+N($D$7)/12)</f>
        <v>0</v>
      </c>
      <c r="M136" s="43" t="n">
        <f aca="false">W135*(1+N($D$8)/12)</f>
        <v>0</v>
      </c>
      <c r="N136" s="43" t="n">
        <f aca="false">X135*(1+N($D$9)/12)</f>
        <v>0</v>
      </c>
      <c r="O136" s="43" t="n">
        <f aca="false">Y135*(1+N($D$10)/12)</f>
        <v>0</v>
      </c>
      <c r="P136" s="43" t="n">
        <f aca="false">MAX(0,MIN(K136,$C$14-(0)-(MIN(L136,N($E$7))+MIN(M136,N($E$8))+MIN(N136,N($E$9))+MIN(O136,N($E$10)))))</f>
        <v>0</v>
      </c>
      <c r="Q136" s="43" t="n">
        <f aca="false">MAX(0,MIN(L136,$C$14-(P136)-(MIN(M136,N($E$8))+MIN(N136,N($E$9))+MIN(O136,N($E$10)))))</f>
        <v>0</v>
      </c>
      <c r="R136" s="43" t="n">
        <f aca="false">MAX(0,MIN(M136,$C$14-(P136+Q136)-(MIN(N136,N($E$9))+MIN(O136,N($E$10)))))</f>
        <v>0</v>
      </c>
      <c r="S136" s="43" t="n">
        <f aca="false">MAX(0,MIN(N136,$C$14-(P136+Q136+R136)-(MIN(O136,N($E$10)))))</f>
        <v>0</v>
      </c>
      <c r="T136" s="43" t="n">
        <f aca="false">MAX(0,MIN(O136,$C$14-(P136+Q136+R136+S136)-(0)))</f>
        <v>0</v>
      </c>
      <c r="U136" s="43" t="n">
        <f aca="false">ROUND(K136-P136,2)</f>
        <v>0</v>
      </c>
      <c r="V136" s="43" t="n">
        <f aca="false">ROUND(L136-Q136,2)</f>
        <v>0</v>
      </c>
      <c r="W136" s="43" t="n">
        <f aca="false">ROUND(M136-R136,2)</f>
        <v>0</v>
      </c>
      <c r="X136" s="43" t="n">
        <f aca="false">ROUND(N136-S136,2)</f>
        <v>0</v>
      </c>
      <c r="Y136" s="43" t="n">
        <f aca="false">ROUND(O136-T136,2)</f>
        <v>0</v>
      </c>
      <c r="Z136" s="43" t="n">
        <f aca="false">SUM(U136:Y136)</f>
        <v>0</v>
      </c>
    </row>
    <row r="137" customFormat="false" ht="15" hidden="false" customHeight="false" outlineLevel="0" collapsed="false">
      <c r="J137" s="42" t="n">
        <f aca="false">EDATE($C$13,96)</f>
        <v>49310</v>
      </c>
      <c r="K137" s="43" t="n">
        <f aca="false">U136*(1+N($D$6)/12)</f>
        <v>0</v>
      </c>
      <c r="L137" s="43" t="n">
        <f aca="false">V136*(1+N($D$7)/12)</f>
        <v>0</v>
      </c>
      <c r="M137" s="43" t="n">
        <f aca="false">W136*(1+N($D$8)/12)</f>
        <v>0</v>
      </c>
      <c r="N137" s="43" t="n">
        <f aca="false">X136*(1+N($D$9)/12)</f>
        <v>0</v>
      </c>
      <c r="O137" s="43" t="n">
        <f aca="false">Y136*(1+N($D$10)/12)</f>
        <v>0</v>
      </c>
      <c r="P137" s="43" t="n">
        <f aca="false">MAX(0,MIN(K137,$C$14-(0)-(MIN(L137,N($E$7))+MIN(M137,N($E$8))+MIN(N137,N($E$9))+MIN(O137,N($E$10)))))</f>
        <v>0</v>
      </c>
      <c r="Q137" s="43" t="n">
        <f aca="false">MAX(0,MIN(L137,$C$14-(P137)-(MIN(M137,N($E$8))+MIN(N137,N($E$9))+MIN(O137,N($E$10)))))</f>
        <v>0</v>
      </c>
      <c r="R137" s="43" t="n">
        <f aca="false">MAX(0,MIN(M137,$C$14-(P137+Q137)-(MIN(N137,N($E$9))+MIN(O137,N($E$10)))))</f>
        <v>0</v>
      </c>
      <c r="S137" s="43" t="n">
        <f aca="false">MAX(0,MIN(N137,$C$14-(P137+Q137+R137)-(MIN(O137,N($E$10)))))</f>
        <v>0</v>
      </c>
      <c r="T137" s="43" t="n">
        <f aca="false">MAX(0,MIN(O137,$C$14-(P137+Q137+R137+S137)-(0)))</f>
        <v>0</v>
      </c>
      <c r="U137" s="43" t="n">
        <f aca="false">ROUND(K137-P137,2)</f>
        <v>0</v>
      </c>
      <c r="V137" s="43" t="n">
        <f aca="false">ROUND(L137-Q137,2)</f>
        <v>0</v>
      </c>
      <c r="W137" s="43" t="n">
        <f aca="false">ROUND(M137-R137,2)</f>
        <v>0</v>
      </c>
      <c r="X137" s="43" t="n">
        <f aca="false">ROUND(N137-S137,2)</f>
        <v>0</v>
      </c>
      <c r="Y137" s="43" t="n">
        <f aca="false">ROUND(O137-T137,2)</f>
        <v>0</v>
      </c>
      <c r="Z137" s="43" t="n">
        <f aca="false">SUM(U137:Y137)</f>
        <v>0</v>
      </c>
    </row>
    <row r="138" customFormat="false" ht="15" hidden="false" customHeight="false" outlineLevel="0" collapsed="false">
      <c r="J138" s="42" t="n">
        <f aca="false">EDATE($C$13,97)</f>
        <v>49341</v>
      </c>
      <c r="K138" s="43" t="n">
        <f aca="false">U137*(1+N($D$6)/12)</f>
        <v>0</v>
      </c>
      <c r="L138" s="43" t="n">
        <f aca="false">V137*(1+N($D$7)/12)</f>
        <v>0</v>
      </c>
      <c r="M138" s="43" t="n">
        <f aca="false">W137*(1+N($D$8)/12)</f>
        <v>0</v>
      </c>
      <c r="N138" s="43" t="n">
        <f aca="false">X137*(1+N($D$9)/12)</f>
        <v>0</v>
      </c>
      <c r="O138" s="43" t="n">
        <f aca="false">Y137*(1+N($D$10)/12)</f>
        <v>0</v>
      </c>
      <c r="P138" s="43" t="n">
        <f aca="false">MAX(0,MIN(K138,$C$14-(0)-(MIN(L138,N($E$7))+MIN(M138,N($E$8))+MIN(N138,N($E$9))+MIN(O138,N($E$10)))))</f>
        <v>0</v>
      </c>
      <c r="Q138" s="43" t="n">
        <f aca="false">MAX(0,MIN(L138,$C$14-(P138)-(MIN(M138,N($E$8))+MIN(N138,N($E$9))+MIN(O138,N($E$10)))))</f>
        <v>0</v>
      </c>
      <c r="R138" s="43" t="n">
        <f aca="false">MAX(0,MIN(M138,$C$14-(P138+Q138)-(MIN(N138,N($E$9))+MIN(O138,N($E$10)))))</f>
        <v>0</v>
      </c>
      <c r="S138" s="43" t="n">
        <f aca="false">MAX(0,MIN(N138,$C$14-(P138+Q138+R138)-(MIN(O138,N($E$10)))))</f>
        <v>0</v>
      </c>
      <c r="T138" s="43" t="n">
        <f aca="false">MAX(0,MIN(O138,$C$14-(P138+Q138+R138+S138)-(0)))</f>
        <v>0</v>
      </c>
      <c r="U138" s="43" t="n">
        <f aca="false">ROUND(K138-P138,2)</f>
        <v>0</v>
      </c>
      <c r="V138" s="43" t="n">
        <f aca="false">ROUND(L138-Q138,2)</f>
        <v>0</v>
      </c>
      <c r="W138" s="43" t="n">
        <f aca="false">ROUND(M138-R138,2)</f>
        <v>0</v>
      </c>
      <c r="X138" s="43" t="n">
        <f aca="false">ROUND(N138-S138,2)</f>
        <v>0</v>
      </c>
      <c r="Y138" s="43" t="n">
        <f aca="false">ROUND(O138-T138,2)</f>
        <v>0</v>
      </c>
      <c r="Z138" s="43" t="n">
        <f aca="false">SUM(U138:Y138)</f>
        <v>0</v>
      </c>
    </row>
    <row r="139" customFormat="false" ht="15" hidden="false" customHeight="false" outlineLevel="0" collapsed="false">
      <c r="J139" s="42" t="n">
        <f aca="false">EDATE($C$13,98)</f>
        <v>49369</v>
      </c>
      <c r="K139" s="43" t="n">
        <f aca="false">U138*(1+N($D$6)/12)</f>
        <v>0</v>
      </c>
      <c r="L139" s="43" t="n">
        <f aca="false">V138*(1+N($D$7)/12)</f>
        <v>0</v>
      </c>
      <c r="M139" s="43" t="n">
        <f aca="false">W138*(1+N($D$8)/12)</f>
        <v>0</v>
      </c>
      <c r="N139" s="43" t="n">
        <f aca="false">X138*(1+N($D$9)/12)</f>
        <v>0</v>
      </c>
      <c r="O139" s="43" t="n">
        <f aca="false">Y138*(1+N($D$10)/12)</f>
        <v>0</v>
      </c>
      <c r="P139" s="43" t="n">
        <f aca="false">MAX(0,MIN(K139,$C$14-(0)-(MIN(L139,N($E$7))+MIN(M139,N($E$8))+MIN(N139,N($E$9))+MIN(O139,N($E$10)))))</f>
        <v>0</v>
      </c>
      <c r="Q139" s="43" t="n">
        <f aca="false">MAX(0,MIN(L139,$C$14-(P139)-(MIN(M139,N($E$8))+MIN(N139,N($E$9))+MIN(O139,N($E$10)))))</f>
        <v>0</v>
      </c>
      <c r="R139" s="43" t="n">
        <f aca="false">MAX(0,MIN(M139,$C$14-(P139+Q139)-(MIN(N139,N($E$9))+MIN(O139,N($E$10)))))</f>
        <v>0</v>
      </c>
      <c r="S139" s="43" t="n">
        <f aca="false">MAX(0,MIN(N139,$C$14-(P139+Q139+R139)-(MIN(O139,N($E$10)))))</f>
        <v>0</v>
      </c>
      <c r="T139" s="43" t="n">
        <f aca="false">MAX(0,MIN(O139,$C$14-(P139+Q139+R139+S139)-(0)))</f>
        <v>0</v>
      </c>
      <c r="U139" s="43" t="n">
        <f aca="false">ROUND(K139-P139,2)</f>
        <v>0</v>
      </c>
      <c r="V139" s="43" t="n">
        <f aca="false">ROUND(L139-Q139,2)</f>
        <v>0</v>
      </c>
      <c r="W139" s="43" t="n">
        <f aca="false">ROUND(M139-R139,2)</f>
        <v>0</v>
      </c>
      <c r="X139" s="43" t="n">
        <f aca="false">ROUND(N139-S139,2)</f>
        <v>0</v>
      </c>
      <c r="Y139" s="43" t="n">
        <f aca="false">ROUND(O139-T139,2)</f>
        <v>0</v>
      </c>
      <c r="Z139" s="43" t="n">
        <f aca="false">SUM(U139:Y139)</f>
        <v>0</v>
      </c>
    </row>
    <row r="140" customFormat="false" ht="15" hidden="false" customHeight="false" outlineLevel="0" collapsed="false">
      <c r="J140" s="42" t="n">
        <f aca="false">EDATE($C$13,99)</f>
        <v>49400</v>
      </c>
      <c r="K140" s="43" t="n">
        <f aca="false">U139*(1+N($D$6)/12)</f>
        <v>0</v>
      </c>
      <c r="L140" s="43" t="n">
        <f aca="false">V139*(1+N($D$7)/12)</f>
        <v>0</v>
      </c>
      <c r="M140" s="43" t="n">
        <f aca="false">W139*(1+N($D$8)/12)</f>
        <v>0</v>
      </c>
      <c r="N140" s="43" t="n">
        <f aca="false">X139*(1+N($D$9)/12)</f>
        <v>0</v>
      </c>
      <c r="O140" s="43" t="n">
        <f aca="false">Y139*(1+N($D$10)/12)</f>
        <v>0</v>
      </c>
      <c r="P140" s="43" t="n">
        <f aca="false">MAX(0,MIN(K140,$C$14-(0)-(MIN(L140,N($E$7))+MIN(M140,N($E$8))+MIN(N140,N($E$9))+MIN(O140,N($E$10)))))</f>
        <v>0</v>
      </c>
      <c r="Q140" s="43" t="n">
        <f aca="false">MAX(0,MIN(L140,$C$14-(P140)-(MIN(M140,N($E$8))+MIN(N140,N($E$9))+MIN(O140,N($E$10)))))</f>
        <v>0</v>
      </c>
      <c r="R140" s="43" t="n">
        <f aca="false">MAX(0,MIN(M140,$C$14-(P140+Q140)-(MIN(N140,N($E$9))+MIN(O140,N($E$10)))))</f>
        <v>0</v>
      </c>
      <c r="S140" s="43" t="n">
        <f aca="false">MAX(0,MIN(N140,$C$14-(P140+Q140+R140)-(MIN(O140,N($E$10)))))</f>
        <v>0</v>
      </c>
      <c r="T140" s="43" t="n">
        <f aca="false">MAX(0,MIN(O140,$C$14-(P140+Q140+R140+S140)-(0)))</f>
        <v>0</v>
      </c>
      <c r="U140" s="43" t="n">
        <f aca="false">ROUND(K140-P140,2)</f>
        <v>0</v>
      </c>
      <c r="V140" s="43" t="n">
        <f aca="false">ROUND(L140-Q140,2)</f>
        <v>0</v>
      </c>
      <c r="W140" s="43" t="n">
        <f aca="false">ROUND(M140-R140,2)</f>
        <v>0</v>
      </c>
      <c r="X140" s="43" t="n">
        <f aca="false">ROUND(N140-S140,2)</f>
        <v>0</v>
      </c>
      <c r="Y140" s="43" t="n">
        <f aca="false">ROUND(O140-T140,2)</f>
        <v>0</v>
      </c>
      <c r="Z140" s="43" t="n">
        <f aca="false">SUM(U140:Y140)</f>
        <v>0</v>
      </c>
    </row>
    <row r="141" customFormat="false" ht="15" hidden="false" customHeight="false" outlineLevel="0" collapsed="false">
      <c r="J141" s="42" t="n">
        <f aca="false">EDATE($C$13,100)</f>
        <v>49430</v>
      </c>
      <c r="K141" s="43" t="n">
        <f aca="false">U140*(1+N($D$6)/12)</f>
        <v>0</v>
      </c>
      <c r="L141" s="43" t="n">
        <f aca="false">V140*(1+N($D$7)/12)</f>
        <v>0</v>
      </c>
      <c r="M141" s="43" t="n">
        <f aca="false">W140*(1+N($D$8)/12)</f>
        <v>0</v>
      </c>
      <c r="N141" s="43" t="n">
        <f aca="false">X140*(1+N($D$9)/12)</f>
        <v>0</v>
      </c>
      <c r="O141" s="43" t="n">
        <f aca="false">Y140*(1+N($D$10)/12)</f>
        <v>0</v>
      </c>
      <c r="P141" s="43" t="n">
        <f aca="false">MAX(0,MIN(K141,$C$14-(0)-(MIN(L141,N($E$7))+MIN(M141,N($E$8))+MIN(N141,N($E$9))+MIN(O141,N($E$10)))))</f>
        <v>0</v>
      </c>
      <c r="Q141" s="43" t="n">
        <f aca="false">MAX(0,MIN(L141,$C$14-(P141)-(MIN(M141,N($E$8))+MIN(N141,N($E$9))+MIN(O141,N($E$10)))))</f>
        <v>0</v>
      </c>
      <c r="R141" s="43" t="n">
        <f aca="false">MAX(0,MIN(M141,$C$14-(P141+Q141)-(MIN(N141,N($E$9))+MIN(O141,N($E$10)))))</f>
        <v>0</v>
      </c>
      <c r="S141" s="43" t="n">
        <f aca="false">MAX(0,MIN(N141,$C$14-(P141+Q141+R141)-(MIN(O141,N($E$10)))))</f>
        <v>0</v>
      </c>
      <c r="T141" s="43" t="n">
        <f aca="false">MAX(0,MIN(O141,$C$14-(P141+Q141+R141+S141)-(0)))</f>
        <v>0</v>
      </c>
      <c r="U141" s="43" t="n">
        <f aca="false">ROUND(K141-P141,2)</f>
        <v>0</v>
      </c>
      <c r="V141" s="43" t="n">
        <f aca="false">ROUND(L141-Q141,2)</f>
        <v>0</v>
      </c>
      <c r="W141" s="43" t="n">
        <f aca="false">ROUND(M141-R141,2)</f>
        <v>0</v>
      </c>
      <c r="X141" s="43" t="n">
        <f aca="false">ROUND(N141-S141,2)</f>
        <v>0</v>
      </c>
      <c r="Y141" s="43" t="n">
        <f aca="false">ROUND(O141-T141,2)</f>
        <v>0</v>
      </c>
      <c r="Z141" s="43" t="n">
        <f aca="false">SUM(U141:Y141)</f>
        <v>0</v>
      </c>
    </row>
    <row r="142" customFormat="false" ht="15" hidden="false" customHeight="false" outlineLevel="0" collapsed="false">
      <c r="J142" s="42" t="n">
        <f aca="false">EDATE($C$13,101)</f>
        <v>49461</v>
      </c>
      <c r="K142" s="43" t="n">
        <f aca="false">U141*(1+N($D$6)/12)</f>
        <v>0</v>
      </c>
      <c r="L142" s="43" t="n">
        <f aca="false">V141*(1+N($D$7)/12)</f>
        <v>0</v>
      </c>
      <c r="M142" s="43" t="n">
        <f aca="false">W141*(1+N($D$8)/12)</f>
        <v>0</v>
      </c>
      <c r="N142" s="43" t="n">
        <f aca="false">X141*(1+N($D$9)/12)</f>
        <v>0</v>
      </c>
      <c r="O142" s="43" t="n">
        <f aca="false">Y141*(1+N($D$10)/12)</f>
        <v>0</v>
      </c>
      <c r="P142" s="43" t="n">
        <f aca="false">MAX(0,MIN(K142,$C$14-(0)-(MIN(L142,N($E$7))+MIN(M142,N($E$8))+MIN(N142,N($E$9))+MIN(O142,N($E$10)))))</f>
        <v>0</v>
      </c>
      <c r="Q142" s="43" t="n">
        <f aca="false">MAX(0,MIN(L142,$C$14-(P142)-(MIN(M142,N($E$8))+MIN(N142,N($E$9))+MIN(O142,N($E$10)))))</f>
        <v>0</v>
      </c>
      <c r="R142" s="43" t="n">
        <f aca="false">MAX(0,MIN(M142,$C$14-(P142+Q142)-(MIN(N142,N($E$9))+MIN(O142,N($E$10)))))</f>
        <v>0</v>
      </c>
      <c r="S142" s="43" t="n">
        <f aca="false">MAX(0,MIN(N142,$C$14-(P142+Q142+R142)-(MIN(O142,N($E$10)))))</f>
        <v>0</v>
      </c>
      <c r="T142" s="43" t="n">
        <f aca="false">MAX(0,MIN(O142,$C$14-(P142+Q142+R142+S142)-(0)))</f>
        <v>0</v>
      </c>
      <c r="U142" s="43" t="n">
        <f aca="false">ROUND(K142-P142,2)</f>
        <v>0</v>
      </c>
      <c r="V142" s="43" t="n">
        <f aca="false">ROUND(L142-Q142,2)</f>
        <v>0</v>
      </c>
      <c r="W142" s="43" t="n">
        <f aca="false">ROUND(M142-R142,2)</f>
        <v>0</v>
      </c>
      <c r="X142" s="43" t="n">
        <f aca="false">ROUND(N142-S142,2)</f>
        <v>0</v>
      </c>
      <c r="Y142" s="43" t="n">
        <f aca="false">ROUND(O142-T142,2)</f>
        <v>0</v>
      </c>
      <c r="Z142" s="43" t="n">
        <f aca="false">SUM(U142:Y142)</f>
        <v>0</v>
      </c>
    </row>
    <row r="143" customFormat="false" ht="15" hidden="false" customHeight="false" outlineLevel="0" collapsed="false">
      <c r="J143" s="42" t="n">
        <f aca="false">EDATE($C$13,102)</f>
        <v>49491</v>
      </c>
      <c r="K143" s="43" t="n">
        <f aca="false">U142*(1+N($D$6)/12)</f>
        <v>0</v>
      </c>
      <c r="L143" s="43" t="n">
        <f aca="false">V142*(1+N($D$7)/12)</f>
        <v>0</v>
      </c>
      <c r="M143" s="43" t="n">
        <f aca="false">W142*(1+N($D$8)/12)</f>
        <v>0</v>
      </c>
      <c r="N143" s="43" t="n">
        <f aca="false">X142*(1+N($D$9)/12)</f>
        <v>0</v>
      </c>
      <c r="O143" s="43" t="n">
        <f aca="false">Y142*(1+N($D$10)/12)</f>
        <v>0</v>
      </c>
      <c r="P143" s="43" t="n">
        <f aca="false">MAX(0,MIN(K143,$C$14-(0)-(MIN(L143,N($E$7))+MIN(M143,N($E$8))+MIN(N143,N($E$9))+MIN(O143,N($E$10)))))</f>
        <v>0</v>
      </c>
      <c r="Q143" s="43" t="n">
        <f aca="false">MAX(0,MIN(L143,$C$14-(P143)-(MIN(M143,N($E$8))+MIN(N143,N($E$9))+MIN(O143,N($E$10)))))</f>
        <v>0</v>
      </c>
      <c r="R143" s="43" t="n">
        <f aca="false">MAX(0,MIN(M143,$C$14-(P143+Q143)-(MIN(N143,N($E$9))+MIN(O143,N($E$10)))))</f>
        <v>0</v>
      </c>
      <c r="S143" s="43" t="n">
        <f aca="false">MAX(0,MIN(N143,$C$14-(P143+Q143+R143)-(MIN(O143,N($E$10)))))</f>
        <v>0</v>
      </c>
      <c r="T143" s="43" t="n">
        <f aca="false">MAX(0,MIN(O143,$C$14-(P143+Q143+R143+S143)-(0)))</f>
        <v>0</v>
      </c>
      <c r="U143" s="43" t="n">
        <f aca="false">ROUND(K143-P143,2)</f>
        <v>0</v>
      </c>
      <c r="V143" s="43" t="n">
        <f aca="false">ROUND(L143-Q143,2)</f>
        <v>0</v>
      </c>
      <c r="W143" s="43" t="n">
        <f aca="false">ROUND(M143-R143,2)</f>
        <v>0</v>
      </c>
      <c r="X143" s="43" t="n">
        <f aca="false">ROUND(N143-S143,2)</f>
        <v>0</v>
      </c>
      <c r="Y143" s="43" t="n">
        <f aca="false">ROUND(O143-T143,2)</f>
        <v>0</v>
      </c>
      <c r="Z143" s="43" t="n">
        <f aca="false">SUM(U143:Y143)</f>
        <v>0</v>
      </c>
    </row>
    <row r="144" customFormat="false" ht="15" hidden="false" customHeight="false" outlineLevel="0" collapsed="false">
      <c r="J144" s="42" t="n">
        <f aca="false">EDATE($C$13,103)</f>
        <v>49522</v>
      </c>
      <c r="K144" s="43" t="n">
        <f aca="false">U143*(1+N($D$6)/12)</f>
        <v>0</v>
      </c>
      <c r="L144" s="43" t="n">
        <f aca="false">V143*(1+N($D$7)/12)</f>
        <v>0</v>
      </c>
      <c r="M144" s="43" t="n">
        <f aca="false">W143*(1+N($D$8)/12)</f>
        <v>0</v>
      </c>
      <c r="N144" s="43" t="n">
        <f aca="false">X143*(1+N($D$9)/12)</f>
        <v>0</v>
      </c>
      <c r="O144" s="43" t="n">
        <f aca="false">Y143*(1+N($D$10)/12)</f>
        <v>0</v>
      </c>
      <c r="P144" s="43" t="n">
        <f aca="false">MAX(0,MIN(K144,$C$14-(0)-(MIN(L144,N($E$7))+MIN(M144,N($E$8))+MIN(N144,N($E$9))+MIN(O144,N($E$10)))))</f>
        <v>0</v>
      </c>
      <c r="Q144" s="43" t="n">
        <f aca="false">MAX(0,MIN(L144,$C$14-(P144)-(MIN(M144,N($E$8))+MIN(N144,N($E$9))+MIN(O144,N($E$10)))))</f>
        <v>0</v>
      </c>
      <c r="R144" s="43" t="n">
        <f aca="false">MAX(0,MIN(M144,$C$14-(P144+Q144)-(MIN(N144,N($E$9))+MIN(O144,N($E$10)))))</f>
        <v>0</v>
      </c>
      <c r="S144" s="43" t="n">
        <f aca="false">MAX(0,MIN(N144,$C$14-(P144+Q144+R144)-(MIN(O144,N($E$10)))))</f>
        <v>0</v>
      </c>
      <c r="T144" s="43" t="n">
        <f aca="false">MAX(0,MIN(O144,$C$14-(P144+Q144+R144+S144)-(0)))</f>
        <v>0</v>
      </c>
      <c r="U144" s="43" t="n">
        <f aca="false">ROUND(K144-P144,2)</f>
        <v>0</v>
      </c>
      <c r="V144" s="43" t="n">
        <f aca="false">ROUND(L144-Q144,2)</f>
        <v>0</v>
      </c>
      <c r="W144" s="43" t="n">
        <f aca="false">ROUND(M144-R144,2)</f>
        <v>0</v>
      </c>
      <c r="X144" s="43" t="n">
        <f aca="false">ROUND(N144-S144,2)</f>
        <v>0</v>
      </c>
      <c r="Y144" s="43" t="n">
        <f aca="false">ROUND(O144-T144,2)</f>
        <v>0</v>
      </c>
      <c r="Z144" s="43" t="n">
        <f aca="false">SUM(U144:Y144)</f>
        <v>0</v>
      </c>
    </row>
    <row r="145" customFormat="false" ht="15" hidden="false" customHeight="false" outlineLevel="0" collapsed="false">
      <c r="J145" s="42" t="n">
        <f aca="false">EDATE($C$13,104)</f>
        <v>49553</v>
      </c>
      <c r="K145" s="43" t="n">
        <f aca="false">U144*(1+N($D$6)/12)</f>
        <v>0</v>
      </c>
      <c r="L145" s="43" t="n">
        <f aca="false">V144*(1+N($D$7)/12)</f>
        <v>0</v>
      </c>
      <c r="M145" s="43" t="n">
        <f aca="false">W144*(1+N($D$8)/12)</f>
        <v>0</v>
      </c>
      <c r="N145" s="43" t="n">
        <f aca="false">X144*(1+N($D$9)/12)</f>
        <v>0</v>
      </c>
      <c r="O145" s="43" t="n">
        <f aca="false">Y144*(1+N($D$10)/12)</f>
        <v>0</v>
      </c>
      <c r="P145" s="43" t="n">
        <f aca="false">MAX(0,MIN(K145,$C$14-(0)-(MIN(L145,N($E$7))+MIN(M145,N($E$8))+MIN(N145,N($E$9))+MIN(O145,N($E$10)))))</f>
        <v>0</v>
      </c>
      <c r="Q145" s="43" t="n">
        <f aca="false">MAX(0,MIN(L145,$C$14-(P145)-(MIN(M145,N($E$8))+MIN(N145,N($E$9))+MIN(O145,N($E$10)))))</f>
        <v>0</v>
      </c>
      <c r="R145" s="43" t="n">
        <f aca="false">MAX(0,MIN(M145,$C$14-(P145+Q145)-(MIN(N145,N($E$9))+MIN(O145,N($E$10)))))</f>
        <v>0</v>
      </c>
      <c r="S145" s="43" t="n">
        <f aca="false">MAX(0,MIN(N145,$C$14-(P145+Q145+R145)-(MIN(O145,N($E$10)))))</f>
        <v>0</v>
      </c>
      <c r="T145" s="43" t="n">
        <f aca="false">MAX(0,MIN(O145,$C$14-(P145+Q145+R145+S145)-(0)))</f>
        <v>0</v>
      </c>
      <c r="U145" s="43" t="n">
        <f aca="false">ROUND(K145-P145,2)</f>
        <v>0</v>
      </c>
      <c r="V145" s="43" t="n">
        <f aca="false">ROUND(L145-Q145,2)</f>
        <v>0</v>
      </c>
      <c r="W145" s="43" t="n">
        <f aca="false">ROUND(M145-R145,2)</f>
        <v>0</v>
      </c>
      <c r="X145" s="43" t="n">
        <f aca="false">ROUND(N145-S145,2)</f>
        <v>0</v>
      </c>
      <c r="Y145" s="43" t="n">
        <f aca="false">ROUND(O145-T145,2)</f>
        <v>0</v>
      </c>
      <c r="Z145" s="43" t="n">
        <f aca="false">SUM(U145:Y145)</f>
        <v>0</v>
      </c>
    </row>
    <row r="146" customFormat="false" ht="15" hidden="false" customHeight="false" outlineLevel="0" collapsed="false">
      <c r="J146" s="42" t="n">
        <f aca="false">EDATE($C$13,105)</f>
        <v>49583</v>
      </c>
      <c r="K146" s="43" t="n">
        <f aca="false">U145*(1+N($D$6)/12)</f>
        <v>0</v>
      </c>
      <c r="L146" s="43" t="n">
        <f aca="false">V145*(1+N($D$7)/12)</f>
        <v>0</v>
      </c>
      <c r="M146" s="43" t="n">
        <f aca="false">W145*(1+N($D$8)/12)</f>
        <v>0</v>
      </c>
      <c r="N146" s="43" t="n">
        <f aca="false">X145*(1+N($D$9)/12)</f>
        <v>0</v>
      </c>
      <c r="O146" s="43" t="n">
        <f aca="false">Y145*(1+N($D$10)/12)</f>
        <v>0</v>
      </c>
      <c r="P146" s="43" t="n">
        <f aca="false">MAX(0,MIN(K146,$C$14-(0)-(MIN(L146,N($E$7))+MIN(M146,N($E$8))+MIN(N146,N($E$9))+MIN(O146,N($E$10)))))</f>
        <v>0</v>
      </c>
      <c r="Q146" s="43" t="n">
        <f aca="false">MAX(0,MIN(L146,$C$14-(P146)-(MIN(M146,N($E$8))+MIN(N146,N($E$9))+MIN(O146,N($E$10)))))</f>
        <v>0</v>
      </c>
      <c r="R146" s="43" t="n">
        <f aca="false">MAX(0,MIN(M146,$C$14-(P146+Q146)-(MIN(N146,N($E$9))+MIN(O146,N($E$10)))))</f>
        <v>0</v>
      </c>
      <c r="S146" s="43" t="n">
        <f aca="false">MAX(0,MIN(N146,$C$14-(P146+Q146+R146)-(MIN(O146,N($E$10)))))</f>
        <v>0</v>
      </c>
      <c r="T146" s="43" t="n">
        <f aca="false">MAX(0,MIN(O146,$C$14-(P146+Q146+R146+S146)-(0)))</f>
        <v>0</v>
      </c>
      <c r="U146" s="43" t="n">
        <f aca="false">ROUND(K146-P146,2)</f>
        <v>0</v>
      </c>
      <c r="V146" s="43" t="n">
        <f aca="false">ROUND(L146-Q146,2)</f>
        <v>0</v>
      </c>
      <c r="W146" s="43" t="n">
        <f aca="false">ROUND(M146-R146,2)</f>
        <v>0</v>
      </c>
      <c r="X146" s="43" t="n">
        <f aca="false">ROUND(N146-S146,2)</f>
        <v>0</v>
      </c>
      <c r="Y146" s="43" t="n">
        <f aca="false">ROUND(O146-T146,2)</f>
        <v>0</v>
      </c>
      <c r="Z146" s="43" t="n">
        <f aca="false">SUM(U146:Y146)</f>
        <v>0</v>
      </c>
    </row>
    <row r="147" customFormat="false" ht="15" hidden="false" customHeight="false" outlineLevel="0" collapsed="false">
      <c r="J147" s="42" t="n">
        <f aca="false">EDATE($C$13,106)</f>
        <v>49614</v>
      </c>
      <c r="K147" s="43" t="n">
        <f aca="false">U146*(1+N($D$6)/12)</f>
        <v>0</v>
      </c>
      <c r="L147" s="43" t="n">
        <f aca="false">V146*(1+N($D$7)/12)</f>
        <v>0</v>
      </c>
      <c r="M147" s="43" t="n">
        <f aca="false">W146*(1+N($D$8)/12)</f>
        <v>0</v>
      </c>
      <c r="N147" s="43" t="n">
        <f aca="false">X146*(1+N($D$9)/12)</f>
        <v>0</v>
      </c>
      <c r="O147" s="43" t="n">
        <f aca="false">Y146*(1+N($D$10)/12)</f>
        <v>0</v>
      </c>
      <c r="P147" s="43" t="n">
        <f aca="false">MAX(0,MIN(K147,$C$14-(0)-(MIN(L147,N($E$7))+MIN(M147,N($E$8))+MIN(N147,N($E$9))+MIN(O147,N($E$10)))))</f>
        <v>0</v>
      </c>
      <c r="Q147" s="43" t="n">
        <f aca="false">MAX(0,MIN(L147,$C$14-(P147)-(MIN(M147,N($E$8))+MIN(N147,N($E$9))+MIN(O147,N($E$10)))))</f>
        <v>0</v>
      </c>
      <c r="R147" s="43" t="n">
        <f aca="false">MAX(0,MIN(M147,$C$14-(P147+Q147)-(MIN(N147,N($E$9))+MIN(O147,N($E$10)))))</f>
        <v>0</v>
      </c>
      <c r="S147" s="43" t="n">
        <f aca="false">MAX(0,MIN(N147,$C$14-(P147+Q147+R147)-(MIN(O147,N($E$10)))))</f>
        <v>0</v>
      </c>
      <c r="T147" s="43" t="n">
        <f aca="false">MAX(0,MIN(O147,$C$14-(P147+Q147+R147+S147)-(0)))</f>
        <v>0</v>
      </c>
      <c r="U147" s="43" t="n">
        <f aca="false">ROUND(K147-P147,2)</f>
        <v>0</v>
      </c>
      <c r="V147" s="43" t="n">
        <f aca="false">ROUND(L147-Q147,2)</f>
        <v>0</v>
      </c>
      <c r="W147" s="43" t="n">
        <f aca="false">ROUND(M147-R147,2)</f>
        <v>0</v>
      </c>
      <c r="X147" s="43" t="n">
        <f aca="false">ROUND(N147-S147,2)</f>
        <v>0</v>
      </c>
      <c r="Y147" s="43" t="n">
        <f aca="false">ROUND(O147-T147,2)</f>
        <v>0</v>
      </c>
      <c r="Z147" s="43" t="n">
        <f aca="false">SUM(U147:Y147)</f>
        <v>0</v>
      </c>
    </row>
    <row r="148" customFormat="false" ht="15" hidden="false" customHeight="false" outlineLevel="0" collapsed="false">
      <c r="J148" s="42" t="n">
        <f aca="false">EDATE($C$13,107)</f>
        <v>49644</v>
      </c>
      <c r="K148" s="43" t="n">
        <f aca="false">U147*(1+N($D$6)/12)</f>
        <v>0</v>
      </c>
      <c r="L148" s="43" t="n">
        <f aca="false">V147*(1+N($D$7)/12)</f>
        <v>0</v>
      </c>
      <c r="M148" s="43" t="n">
        <f aca="false">W147*(1+N($D$8)/12)</f>
        <v>0</v>
      </c>
      <c r="N148" s="43" t="n">
        <f aca="false">X147*(1+N($D$9)/12)</f>
        <v>0</v>
      </c>
      <c r="O148" s="43" t="n">
        <f aca="false">Y147*(1+N($D$10)/12)</f>
        <v>0</v>
      </c>
      <c r="P148" s="43" t="n">
        <f aca="false">MAX(0,MIN(K148,$C$14-(0)-(MIN(L148,N($E$7))+MIN(M148,N($E$8))+MIN(N148,N($E$9))+MIN(O148,N($E$10)))))</f>
        <v>0</v>
      </c>
      <c r="Q148" s="43" t="n">
        <f aca="false">MAX(0,MIN(L148,$C$14-(P148)-(MIN(M148,N($E$8))+MIN(N148,N($E$9))+MIN(O148,N($E$10)))))</f>
        <v>0</v>
      </c>
      <c r="R148" s="43" t="n">
        <f aca="false">MAX(0,MIN(M148,$C$14-(P148+Q148)-(MIN(N148,N($E$9))+MIN(O148,N($E$10)))))</f>
        <v>0</v>
      </c>
      <c r="S148" s="43" t="n">
        <f aca="false">MAX(0,MIN(N148,$C$14-(P148+Q148+R148)-(MIN(O148,N($E$10)))))</f>
        <v>0</v>
      </c>
      <c r="T148" s="43" t="n">
        <f aca="false">MAX(0,MIN(O148,$C$14-(P148+Q148+R148+S148)-(0)))</f>
        <v>0</v>
      </c>
      <c r="U148" s="43" t="n">
        <f aca="false">ROUND(K148-P148,2)</f>
        <v>0</v>
      </c>
      <c r="V148" s="43" t="n">
        <f aca="false">ROUND(L148-Q148,2)</f>
        <v>0</v>
      </c>
      <c r="W148" s="43" t="n">
        <f aca="false">ROUND(M148-R148,2)</f>
        <v>0</v>
      </c>
      <c r="X148" s="43" t="n">
        <f aca="false">ROUND(N148-S148,2)</f>
        <v>0</v>
      </c>
      <c r="Y148" s="43" t="n">
        <f aca="false">ROUND(O148-T148,2)</f>
        <v>0</v>
      </c>
      <c r="Z148" s="43" t="n">
        <f aca="false">SUM(U148:Y148)</f>
        <v>0</v>
      </c>
    </row>
    <row r="149" customFormat="false" ht="15" hidden="false" customHeight="false" outlineLevel="0" collapsed="false">
      <c r="J149" s="42" t="n">
        <f aca="false">EDATE($C$13,108)</f>
        <v>49675</v>
      </c>
      <c r="K149" s="43" t="n">
        <f aca="false">U148*(1+N($D$6)/12)</f>
        <v>0</v>
      </c>
      <c r="L149" s="43" t="n">
        <f aca="false">V148*(1+N($D$7)/12)</f>
        <v>0</v>
      </c>
      <c r="M149" s="43" t="n">
        <f aca="false">W148*(1+N($D$8)/12)</f>
        <v>0</v>
      </c>
      <c r="N149" s="43" t="n">
        <f aca="false">X148*(1+N($D$9)/12)</f>
        <v>0</v>
      </c>
      <c r="O149" s="43" t="n">
        <f aca="false">Y148*(1+N($D$10)/12)</f>
        <v>0</v>
      </c>
      <c r="P149" s="43" t="n">
        <f aca="false">MAX(0,MIN(K149,$C$14-(0)-(MIN(L149,N($E$7))+MIN(M149,N($E$8))+MIN(N149,N($E$9))+MIN(O149,N($E$10)))))</f>
        <v>0</v>
      </c>
      <c r="Q149" s="43" t="n">
        <f aca="false">MAX(0,MIN(L149,$C$14-(P149)-(MIN(M149,N($E$8))+MIN(N149,N($E$9))+MIN(O149,N($E$10)))))</f>
        <v>0</v>
      </c>
      <c r="R149" s="43" t="n">
        <f aca="false">MAX(0,MIN(M149,$C$14-(P149+Q149)-(MIN(N149,N($E$9))+MIN(O149,N($E$10)))))</f>
        <v>0</v>
      </c>
      <c r="S149" s="43" t="n">
        <f aca="false">MAX(0,MIN(N149,$C$14-(P149+Q149+R149)-(MIN(O149,N($E$10)))))</f>
        <v>0</v>
      </c>
      <c r="T149" s="43" t="n">
        <f aca="false">MAX(0,MIN(O149,$C$14-(P149+Q149+R149+S149)-(0)))</f>
        <v>0</v>
      </c>
      <c r="U149" s="43" t="n">
        <f aca="false">ROUND(K149-P149,2)</f>
        <v>0</v>
      </c>
      <c r="V149" s="43" t="n">
        <f aca="false">ROUND(L149-Q149,2)</f>
        <v>0</v>
      </c>
      <c r="W149" s="43" t="n">
        <f aca="false">ROUND(M149-R149,2)</f>
        <v>0</v>
      </c>
      <c r="X149" s="43" t="n">
        <f aca="false">ROUND(N149-S149,2)</f>
        <v>0</v>
      </c>
      <c r="Y149" s="43" t="n">
        <f aca="false">ROUND(O149-T149,2)</f>
        <v>0</v>
      </c>
      <c r="Z149" s="43" t="n">
        <f aca="false">SUM(U149:Y149)</f>
        <v>0</v>
      </c>
    </row>
    <row r="150" customFormat="false" ht="15" hidden="false" customHeight="false" outlineLevel="0" collapsed="false">
      <c r="J150" s="42" t="n">
        <f aca="false">EDATE($C$13,109)</f>
        <v>49706</v>
      </c>
      <c r="K150" s="43" t="n">
        <f aca="false">U149*(1+N($D$6)/12)</f>
        <v>0</v>
      </c>
      <c r="L150" s="43" t="n">
        <f aca="false">V149*(1+N($D$7)/12)</f>
        <v>0</v>
      </c>
      <c r="M150" s="43" t="n">
        <f aca="false">W149*(1+N($D$8)/12)</f>
        <v>0</v>
      </c>
      <c r="N150" s="43" t="n">
        <f aca="false">X149*(1+N($D$9)/12)</f>
        <v>0</v>
      </c>
      <c r="O150" s="43" t="n">
        <f aca="false">Y149*(1+N($D$10)/12)</f>
        <v>0</v>
      </c>
      <c r="P150" s="43" t="n">
        <f aca="false">MAX(0,MIN(K150,$C$14-(0)-(MIN(L150,N($E$7))+MIN(M150,N($E$8))+MIN(N150,N($E$9))+MIN(O150,N($E$10)))))</f>
        <v>0</v>
      </c>
      <c r="Q150" s="43" t="n">
        <f aca="false">MAX(0,MIN(L150,$C$14-(P150)-(MIN(M150,N($E$8))+MIN(N150,N($E$9))+MIN(O150,N($E$10)))))</f>
        <v>0</v>
      </c>
      <c r="R150" s="43" t="n">
        <f aca="false">MAX(0,MIN(M150,$C$14-(P150+Q150)-(MIN(N150,N($E$9))+MIN(O150,N($E$10)))))</f>
        <v>0</v>
      </c>
      <c r="S150" s="43" t="n">
        <f aca="false">MAX(0,MIN(N150,$C$14-(P150+Q150+R150)-(MIN(O150,N($E$10)))))</f>
        <v>0</v>
      </c>
      <c r="T150" s="43" t="n">
        <f aca="false">MAX(0,MIN(O150,$C$14-(P150+Q150+R150+S150)-(0)))</f>
        <v>0</v>
      </c>
      <c r="U150" s="43" t="n">
        <f aca="false">ROUND(K150-P150,2)</f>
        <v>0</v>
      </c>
      <c r="V150" s="43" t="n">
        <f aca="false">ROUND(L150-Q150,2)</f>
        <v>0</v>
      </c>
      <c r="W150" s="43" t="n">
        <f aca="false">ROUND(M150-R150,2)</f>
        <v>0</v>
      </c>
      <c r="X150" s="43" t="n">
        <f aca="false">ROUND(N150-S150,2)</f>
        <v>0</v>
      </c>
      <c r="Y150" s="43" t="n">
        <f aca="false">ROUND(O150-T150,2)</f>
        <v>0</v>
      </c>
      <c r="Z150" s="43" t="n">
        <f aca="false">SUM(U150:Y150)</f>
        <v>0</v>
      </c>
    </row>
    <row r="151" customFormat="false" ht="15" hidden="false" customHeight="false" outlineLevel="0" collapsed="false">
      <c r="J151" s="42" t="n">
        <f aca="false">EDATE($C$13,110)</f>
        <v>49735</v>
      </c>
      <c r="K151" s="43" t="n">
        <f aca="false">U150*(1+N($D$6)/12)</f>
        <v>0</v>
      </c>
      <c r="L151" s="43" t="n">
        <f aca="false">V150*(1+N($D$7)/12)</f>
        <v>0</v>
      </c>
      <c r="M151" s="43" t="n">
        <f aca="false">W150*(1+N($D$8)/12)</f>
        <v>0</v>
      </c>
      <c r="N151" s="43" t="n">
        <f aca="false">X150*(1+N($D$9)/12)</f>
        <v>0</v>
      </c>
      <c r="O151" s="43" t="n">
        <f aca="false">Y150*(1+N($D$10)/12)</f>
        <v>0</v>
      </c>
      <c r="P151" s="43" t="n">
        <f aca="false">MAX(0,MIN(K151,$C$14-(0)-(MIN(L151,N($E$7))+MIN(M151,N($E$8))+MIN(N151,N($E$9))+MIN(O151,N($E$10)))))</f>
        <v>0</v>
      </c>
      <c r="Q151" s="43" t="n">
        <f aca="false">MAX(0,MIN(L151,$C$14-(P151)-(MIN(M151,N($E$8))+MIN(N151,N($E$9))+MIN(O151,N($E$10)))))</f>
        <v>0</v>
      </c>
      <c r="R151" s="43" t="n">
        <f aca="false">MAX(0,MIN(M151,$C$14-(P151+Q151)-(MIN(N151,N($E$9))+MIN(O151,N($E$10)))))</f>
        <v>0</v>
      </c>
      <c r="S151" s="43" t="n">
        <f aca="false">MAX(0,MIN(N151,$C$14-(P151+Q151+R151)-(MIN(O151,N($E$10)))))</f>
        <v>0</v>
      </c>
      <c r="T151" s="43" t="n">
        <f aca="false">MAX(0,MIN(O151,$C$14-(P151+Q151+R151+S151)-(0)))</f>
        <v>0</v>
      </c>
      <c r="U151" s="43" t="n">
        <f aca="false">ROUND(K151-P151,2)</f>
        <v>0</v>
      </c>
      <c r="V151" s="43" t="n">
        <f aca="false">ROUND(L151-Q151,2)</f>
        <v>0</v>
      </c>
      <c r="W151" s="43" t="n">
        <f aca="false">ROUND(M151-R151,2)</f>
        <v>0</v>
      </c>
      <c r="X151" s="43" t="n">
        <f aca="false">ROUND(N151-S151,2)</f>
        <v>0</v>
      </c>
      <c r="Y151" s="43" t="n">
        <f aca="false">ROUND(O151-T151,2)</f>
        <v>0</v>
      </c>
      <c r="Z151" s="43" t="n">
        <f aca="false">SUM(U151:Y151)</f>
        <v>0</v>
      </c>
    </row>
    <row r="152" customFormat="false" ht="15" hidden="false" customHeight="false" outlineLevel="0" collapsed="false">
      <c r="J152" s="42" t="n">
        <f aca="false">EDATE($C$13,111)</f>
        <v>49766</v>
      </c>
      <c r="K152" s="43" t="n">
        <f aca="false">U151*(1+N($D$6)/12)</f>
        <v>0</v>
      </c>
      <c r="L152" s="43" t="n">
        <f aca="false">V151*(1+N($D$7)/12)</f>
        <v>0</v>
      </c>
      <c r="M152" s="43" t="n">
        <f aca="false">W151*(1+N($D$8)/12)</f>
        <v>0</v>
      </c>
      <c r="N152" s="43" t="n">
        <f aca="false">X151*(1+N($D$9)/12)</f>
        <v>0</v>
      </c>
      <c r="O152" s="43" t="n">
        <f aca="false">Y151*(1+N($D$10)/12)</f>
        <v>0</v>
      </c>
      <c r="P152" s="43" t="n">
        <f aca="false">MAX(0,MIN(K152,$C$14-(0)-(MIN(L152,N($E$7))+MIN(M152,N($E$8))+MIN(N152,N($E$9))+MIN(O152,N($E$10)))))</f>
        <v>0</v>
      </c>
      <c r="Q152" s="43" t="n">
        <f aca="false">MAX(0,MIN(L152,$C$14-(P152)-(MIN(M152,N($E$8))+MIN(N152,N($E$9))+MIN(O152,N($E$10)))))</f>
        <v>0</v>
      </c>
      <c r="R152" s="43" t="n">
        <f aca="false">MAX(0,MIN(M152,$C$14-(P152+Q152)-(MIN(N152,N($E$9))+MIN(O152,N($E$10)))))</f>
        <v>0</v>
      </c>
      <c r="S152" s="43" t="n">
        <f aca="false">MAX(0,MIN(N152,$C$14-(P152+Q152+R152)-(MIN(O152,N($E$10)))))</f>
        <v>0</v>
      </c>
      <c r="T152" s="43" t="n">
        <f aca="false">MAX(0,MIN(O152,$C$14-(P152+Q152+R152+S152)-(0)))</f>
        <v>0</v>
      </c>
      <c r="U152" s="43" t="n">
        <f aca="false">ROUND(K152-P152,2)</f>
        <v>0</v>
      </c>
      <c r="V152" s="43" t="n">
        <f aca="false">ROUND(L152-Q152,2)</f>
        <v>0</v>
      </c>
      <c r="W152" s="43" t="n">
        <f aca="false">ROUND(M152-R152,2)</f>
        <v>0</v>
      </c>
      <c r="X152" s="43" t="n">
        <f aca="false">ROUND(N152-S152,2)</f>
        <v>0</v>
      </c>
      <c r="Y152" s="43" t="n">
        <f aca="false">ROUND(O152-T152,2)</f>
        <v>0</v>
      </c>
      <c r="Z152" s="43" t="n">
        <f aca="false">SUM(U152:Y152)</f>
        <v>0</v>
      </c>
    </row>
    <row r="153" customFormat="false" ht="15" hidden="false" customHeight="false" outlineLevel="0" collapsed="false">
      <c r="J153" s="42" t="n">
        <f aca="false">EDATE($C$13,112)</f>
        <v>49796</v>
      </c>
      <c r="K153" s="43" t="n">
        <f aca="false">U152*(1+N($D$6)/12)</f>
        <v>0</v>
      </c>
      <c r="L153" s="43" t="n">
        <f aca="false">V152*(1+N($D$7)/12)</f>
        <v>0</v>
      </c>
      <c r="M153" s="43" t="n">
        <f aca="false">W152*(1+N($D$8)/12)</f>
        <v>0</v>
      </c>
      <c r="N153" s="43" t="n">
        <f aca="false">X152*(1+N($D$9)/12)</f>
        <v>0</v>
      </c>
      <c r="O153" s="43" t="n">
        <f aca="false">Y152*(1+N($D$10)/12)</f>
        <v>0</v>
      </c>
      <c r="P153" s="43" t="n">
        <f aca="false">MAX(0,MIN(K153,$C$14-(0)-(MIN(L153,N($E$7))+MIN(M153,N($E$8))+MIN(N153,N($E$9))+MIN(O153,N($E$10)))))</f>
        <v>0</v>
      </c>
      <c r="Q153" s="43" t="n">
        <f aca="false">MAX(0,MIN(L153,$C$14-(P153)-(MIN(M153,N($E$8))+MIN(N153,N($E$9))+MIN(O153,N($E$10)))))</f>
        <v>0</v>
      </c>
      <c r="R153" s="43" t="n">
        <f aca="false">MAX(0,MIN(M153,$C$14-(P153+Q153)-(MIN(N153,N($E$9))+MIN(O153,N($E$10)))))</f>
        <v>0</v>
      </c>
      <c r="S153" s="43" t="n">
        <f aca="false">MAX(0,MIN(N153,$C$14-(P153+Q153+R153)-(MIN(O153,N($E$10)))))</f>
        <v>0</v>
      </c>
      <c r="T153" s="43" t="n">
        <f aca="false">MAX(0,MIN(O153,$C$14-(P153+Q153+R153+S153)-(0)))</f>
        <v>0</v>
      </c>
      <c r="U153" s="43" t="n">
        <f aca="false">ROUND(K153-P153,2)</f>
        <v>0</v>
      </c>
      <c r="V153" s="43" t="n">
        <f aca="false">ROUND(L153-Q153,2)</f>
        <v>0</v>
      </c>
      <c r="W153" s="43" t="n">
        <f aca="false">ROUND(M153-R153,2)</f>
        <v>0</v>
      </c>
      <c r="X153" s="43" t="n">
        <f aca="false">ROUND(N153-S153,2)</f>
        <v>0</v>
      </c>
      <c r="Y153" s="43" t="n">
        <f aca="false">ROUND(O153-T153,2)</f>
        <v>0</v>
      </c>
      <c r="Z153" s="43" t="n">
        <f aca="false">SUM(U153:Y153)</f>
        <v>0</v>
      </c>
    </row>
    <row r="154" customFormat="false" ht="15" hidden="false" customHeight="false" outlineLevel="0" collapsed="false">
      <c r="J154" s="42" t="n">
        <f aca="false">EDATE($C$13,113)</f>
        <v>49827</v>
      </c>
      <c r="K154" s="43" t="n">
        <f aca="false">U153*(1+N($D$6)/12)</f>
        <v>0</v>
      </c>
      <c r="L154" s="43" t="n">
        <f aca="false">V153*(1+N($D$7)/12)</f>
        <v>0</v>
      </c>
      <c r="M154" s="43" t="n">
        <f aca="false">W153*(1+N($D$8)/12)</f>
        <v>0</v>
      </c>
      <c r="N154" s="43" t="n">
        <f aca="false">X153*(1+N($D$9)/12)</f>
        <v>0</v>
      </c>
      <c r="O154" s="43" t="n">
        <f aca="false">Y153*(1+N($D$10)/12)</f>
        <v>0</v>
      </c>
      <c r="P154" s="43" t="n">
        <f aca="false">MAX(0,MIN(K154,$C$14-(0)-(MIN(L154,N($E$7))+MIN(M154,N($E$8))+MIN(N154,N($E$9))+MIN(O154,N($E$10)))))</f>
        <v>0</v>
      </c>
      <c r="Q154" s="43" t="n">
        <f aca="false">MAX(0,MIN(L154,$C$14-(P154)-(MIN(M154,N($E$8))+MIN(N154,N($E$9))+MIN(O154,N($E$10)))))</f>
        <v>0</v>
      </c>
      <c r="R154" s="43" t="n">
        <f aca="false">MAX(0,MIN(M154,$C$14-(P154+Q154)-(MIN(N154,N($E$9))+MIN(O154,N($E$10)))))</f>
        <v>0</v>
      </c>
      <c r="S154" s="43" t="n">
        <f aca="false">MAX(0,MIN(N154,$C$14-(P154+Q154+R154)-(MIN(O154,N($E$10)))))</f>
        <v>0</v>
      </c>
      <c r="T154" s="43" t="n">
        <f aca="false">MAX(0,MIN(O154,$C$14-(P154+Q154+R154+S154)-(0)))</f>
        <v>0</v>
      </c>
      <c r="U154" s="43" t="n">
        <f aca="false">ROUND(K154-P154,2)</f>
        <v>0</v>
      </c>
      <c r="V154" s="43" t="n">
        <f aca="false">ROUND(L154-Q154,2)</f>
        <v>0</v>
      </c>
      <c r="W154" s="43" t="n">
        <f aca="false">ROUND(M154-R154,2)</f>
        <v>0</v>
      </c>
      <c r="X154" s="43" t="n">
        <f aca="false">ROUND(N154-S154,2)</f>
        <v>0</v>
      </c>
      <c r="Y154" s="43" t="n">
        <f aca="false">ROUND(O154-T154,2)</f>
        <v>0</v>
      </c>
      <c r="Z154" s="43" t="n">
        <f aca="false">SUM(U154:Y154)</f>
        <v>0</v>
      </c>
    </row>
    <row r="155" customFormat="false" ht="15" hidden="false" customHeight="false" outlineLevel="0" collapsed="false">
      <c r="J155" s="42" t="n">
        <f aca="false">EDATE($C$13,114)</f>
        <v>49857</v>
      </c>
      <c r="K155" s="43" t="n">
        <f aca="false">U154*(1+N($D$6)/12)</f>
        <v>0</v>
      </c>
      <c r="L155" s="43" t="n">
        <f aca="false">V154*(1+N($D$7)/12)</f>
        <v>0</v>
      </c>
      <c r="M155" s="43" t="n">
        <f aca="false">W154*(1+N($D$8)/12)</f>
        <v>0</v>
      </c>
      <c r="N155" s="43" t="n">
        <f aca="false">X154*(1+N($D$9)/12)</f>
        <v>0</v>
      </c>
      <c r="O155" s="43" t="n">
        <f aca="false">Y154*(1+N($D$10)/12)</f>
        <v>0</v>
      </c>
      <c r="P155" s="43" t="n">
        <f aca="false">MAX(0,MIN(K155,$C$14-(0)-(MIN(L155,N($E$7))+MIN(M155,N($E$8))+MIN(N155,N($E$9))+MIN(O155,N($E$10)))))</f>
        <v>0</v>
      </c>
      <c r="Q155" s="43" t="n">
        <f aca="false">MAX(0,MIN(L155,$C$14-(P155)-(MIN(M155,N($E$8))+MIN(N155,N($E$9))+MIN(O155,N($E$10)))))</f>
        <v>0</v>
      </c>
      <c r="R155" s="43" t="n">
        <f aca="false">MAX(0,MIN(M155,$C$14-(P155+Q155)-(MIN(N155,N($E$9))+MIN(O155,N($E$10)))))</f>
        <v>0</v>
      </c>
      <c r="S155" s="43" t="n">
        <f aca="false">MAX(0,MIN(N155,$C$14-(P155+Q155+R155)-(MIN(O155,N($E$10)))))</f>
        <v>0</v>
      </c>
      <c r="T155" s="43" t="n">
        <f aca="false">MAX(0,MIN(O155,$C$14-(P155+Q155+R155+S155)-(0)))</f>
        <v>0</v>
      </c>
      <c r="U155" s="43" t="n">
        <f aca="false">ROUND(K155-P155,2)</f>
        <v>0</v>
      </c>
      <c r="V155" s="43" t="n">
        <f aca="false">ROUND(L155-Q155,2)</f>
        <v>0</v>
      </c>
      <c r="W155" s="43" t="n">
        <f aca="false">ROUND(M155-R155,2)</f>
        <v>0</v>
      </c>
      <c r="X155" s="43" t="n">
        <f aca="false">ROUND(N155-S155,2)</f>
        <v>0</v>
      </c>
      <c r="Y155" s="43" t="n">
        <f aca="false">ROUND(O155-T155,2)</f>
        <v>0</v>
      </c>
      <c r="Z155" s="43" t="n">
        <f aca="false">SUM(U155:Y155)</f>
        <v>0</v>
      </c>
    </row>
    <row r="156" customFormat="false" ht="15" hidden="false" customHeight="false" outlineLevel="0" collapsed="false">
      <c r="J156" s="42" t="n">
        <f aca="false">EDATE($C$13,115)</f>
        <v>49888</v>
      </c>
      <c r="K156" s="43" t="n">
        <f aca="false">U155*(1+N($D$6)/12)</f>
        <v>0</v>
      </c>
      <c r="L156" s="43" t="n">
        <f aca="false">V155*(1+N($D$7)/12)</f>
        <v>0</v>
      </c>
      <c r="M156" s="43" t="n">
        <f aca="false">W155*(1+N($D$8)/12)</f>
        <v>0</v>
      </c>
      <c r="N156" s="43" t="n">
        <f aca="false">X155*(1+N($D$9)/12)</f>
        <v>0</v>
      </c>
      <c r="O156" s="43" t="n">
        <f aca="false">Y155*(1+N($D$10)/12)</f>
        <v>0</v>
      </c>
      <c r="P156" s="43" t="n">
        <f aca="false">MAX(0,MIN(K156,$C$14-(0)-(MIN(L156,N($E$7))+MIN(M156,N($E$8))+MIN(N156,N($E$9))+MIN(O156,N($E$10)))))</f>
        <v>0</v>
      </c>
      <c r="Q156" s="43" t="n">
        <f aca="false">MAX(0,MIN(L156,$C$14-(P156)-(MIN(M156,N($E$8))+MIN(N156,N($E$9))+MIN(O156,N($E$10)))))</f>
        <v>0</v>
      </c>
      <c r="R156" s="43" t="n">
        <f aca="false">MAX(0,MIN(M156,$C$14-(P156+Q156)-(MIN(N156,N($E$9))+MIN(O156,N($E$10)))))</f>
        <v>0</v>
      </c>
      <c r="S156" s="43" t="n">
        <f aca="false">MAX(0,MIN(N156,$C$14-(P156+Q156+R156)-(MIN(O156,N($E$10)))))</f>
        <v>0</v>
      </c>
      <c r="T156" s="43" t="n">
        <f aca="false">MAX(0,MIN(O156,$C$14-(P156+Q156+R156+S156)-(0)))</f>
        <v>0</v>
      </c>
      <c r="U156" s="43" t="n">
        <f aca="false">ROUND(K156-P156,2)</f>
        <v>0</v>
      </c>
      <c r="V156" s="43" t="n">
        <f aca="false">ROUND(L156-Q156,2)</f>
        <v>0</v>
      </c>
      <c r="W156" s="43" t="n">
        <f aca="false">ROUND(M156-R156,2)</f>
        <v>0</v>
      </c>
      <c r="X156" s="43" t="n">
        <f aca="false">ROUND(N156-S156,2)</f>
        <v>0</v>
      </c>
      <c r="Y156" s="43" t="n">
        <f aca="false">ROUND(O156-T156,2)</f>
        <v>0</v>
      </c>
      <c r="Z156" s="43" t="n">
        <f aca="false">SUM(U156:Y156)</f>
        <v>0</v>
      </c>
    </row>
    <row r="157" customFormat="false" ht="15" hidden="false" customHeight="false" outlineLevel="0" collapsed="false">
      <c r="J157" s="42" t="n">
        <f aca="false">EDATE($C$13,116)</f>
        <v>49919</v>
      </c>
      <c r="K157" s="43" t="n">
        <f aca="false">U156*(1+N($D$6)/12)</f>
        <v>0</v>
      </c>
      <c r="L157" s="43" t="n">
        <f aca="false">V156*(1+N($D$7)/12)</f>
        <v>0</v>
      </c>
      <c r="M157" s="43" t="n">
        <f aca="false">W156*(1+N($D$8)/12)</f>
        <v>0</v>
      </c>
      <c r="N157" s="43" t="n">
        <f aca="false">X156*(1+N($D$9)/12)</f>
        <v>0</v>
      </c>
      <c r="O157" s="43" t="n">
        <f aca="false">Y156*(1+N($D$10)/12)</f>
        <v>0</v>
      </c>
      <c r="P157" s="43" t="n">
        <f aca="false">MAX(0,MIN(K157,$C$14-(0)-(MIN(L157,N($E$7))+MIN(M157,N($E$8))+MIN(N157,N($E$9))+MIN(O157,N($E$10)))))</f>
        <v>0</v>
      </c>
      <c r="Q157" s="43" t="n">
        <f aca="false">MAX(0,MIN(L157,$C$14-(P157)-(MIN(M157,N($E$8))+MIN(N157,N($E$9))+MIN(O157,N($E$10)))))</f>
        <v>0</v>
      </c>
      <c r="R157" s="43" t="n">
        <f aca="false">MAX(0,MIN(M157,$C$14-(P157+Q157)-(MIN(N157,N($E$9))+MIN(O157,N($E$10)))))</f>
        <v>0</v>
      </c>
      <c r="S157" s="43" t="n">
        <f aca="false">MAX(0,MIN(N157,$C$14-(P157+Q157+R157)-(MIN(O157,N($E$10)))))</f>
        <v>0</v>
      </c>
      <c r="T157" s="43" t="n">
        <f aca="false">MAX(0,MIN(O157,$C$14-(P157+Q157+R157+S157)-(0)))</f>
        <v>0</v>
      </c>
      <c r="U157" s="43" t="n">
        <f aca="false">ROUND(K157-P157,2)</f>
        <v>0</v>
      </c>
      <c r="V157" s="43" t="n">
        <f aca="false">ROUND(L157-Q157,2)</f>
        <v>0</v>
      </c>
      <c r="W157" s="43" t="n">
        <f aca="false">ROUND(M157-R157,2)</f>
        <v>0</v>
      </c>
      <c r="X157" s="43" t="n">
        <f aca="false">ROUND(N157-S157,2)</f>
        <v>0</v>
      </c>
      <c r="Y157" s="43" t="n">
        <f aca="false">ROUND(O157-T157,2)</f>
        <v>0</v>
      </c>
      <c r="Z157" s="43" t="n">
        <f aca="false">SUM(U157:Y157)</f>
        <v>0</v>
      </c>
    </row>
    <row r="158" customFormat="false" ht="15" hidden="false" customHeight="false" outlineLevel="0" collapsed="false">
      <c r="J158" s="42" t="n">
        <f aca="false">EDATE($C$13,117)</f>
        <v>49949</v>
      </c>
      <c r="K158" s="43" t="n">
        <f aca="false">U157*(1+N($D$6)/12)</f>
        <v>0</v>
      </c>
      <c r="L158" s="43" t="n">
        <f aca="false">V157*(1+N($D$7)/12)</f>
        <v>0</v>
      </c>
      <c r="M158" s="43" t="n">
        <f aca="false">W157*(1+N($D$8)/12)</f>
        <v>0</v>
      </c>
      <c r="N158" s="43" t="n">
        <f aca="false">X157*(1+N($D$9)/12)</f>
        <v>0</v>
      </c>
      <c r="O158" s="43" t="n">
        <f aca="false">Y157*(1+N($D$10)/12)</f>
        <v>0</v>
      </c>
      <c r="P158" s="43" t="n">
        <f aca="false">MAX(0,MIN(K158,$C$14-(0)-(MIN(L158,N($E$7))+MIN(M158,N($E$8))+MIN(N158,N($E$9))+MIN(O158,N($E$10)))))</f>
        <v>0</v>
      </c>
      <c r="Q158" s="43" t="n">
        <f aca="false">MAX(0,MIN(L158,$C$14-(P158)-(MIN(M158,N($E$8))+MIN(N158,N($E$9))+MIN(O158,N($E$10)))))</f>
        <v>0</v>
      </c>
      <c r="R158" s="43" t="n">
        <f aca="false">MAX(0,MIN(M158,$C$14-(P158+Q158)-(MIN(N158,N($E$9))+MIN(O158,N($E$10)))))</f>
        <v>0</v>
      </c>
      <c r="S158" s="43" t="n">
        <f aca="false">MAX(0,MIN(N158,$C$14-(P158+Q158+R158)-(MIN(O158,N($E$10)))))</f>
        <v>0</v>
      </c>
      <c r="T158" s="43" t="n">
        <f aca="false">MAX(0,MIN(O158,$C$14-(P158+Q158+R158+S158)-(0)))</f>
        <v>0</v>
      </c>
      <c r="U158" s="43" t="n">
        <f aca="false">ROUND(K158-P158,2)</f>
        <v>0</v>
      </c>
      <c r="V158" s="43" t="n">
        <f aca="false">ROUND(L158-Q158,2)</f>
        <v>0</v>
      </c>
      <c r="W158" s="43" t="n">
        <f aca="false">ROUND(M158-R158,2)</f>
        <v>0</v>
      </c>
      <c r="X158" s="43" t="n">
        <f aca="false">ROUND(N158-S158,2)</f>
        <v>0</v>
      </c>
      <c r="Y158" s="43" t="n">
        <f aca="false">ROUND(O158-T158,2)</f>
        <v>0</v>
      </c>
      <c r="Z158" s="43" t="n">
        <f aca="false">SUM(U158:Y158)</f>
        <v>0</v>
      </c>
    </row>
    <row r="159" customFormat="false" ht="15" hidden="false" customHeight="false" outlineLevel="0" collapsed="false">
      <c r="J159" s="42" t="n">
        <f aca="false">EDATE($C$13,118)</f>
        <v>49980</v>
      </c>
      <c r="K159" s="43" t="n">
        <f aca="false">U158*(1+N($D$6)/12)</f>
        <v>0</v>
      </c>
      <c r="L159" s="43" t="n">
        <f aca="false">V158*(1+N($D$7)/12)</f>
        <v>0</v>
      </c>
      <c r="M159" s="43" t="n">
        <f aca="false">W158*(1+N($D$8)/12)</f>
        <v>0</v>
      </c>
      <c r="N159" s="43" t="n">
        <f aca="false">X158*(1+N($D$9)/12)</f>
        <v>0</v>
      </c>
      <c r="O159" s="43" t="n">
        <f aca="false">Y158*(1+N($D$10)/12)</f>
        <v>0</v>
      </c>
      <c r="P159" s="43" t="n">
        <f aca="false">MAX(0,MIN(K159,$C$14-(0)-(MIN(L159,N($E$7))+MIN(M159,N($E$8))+MIN(N159,N($E$9))+MIN(O159,N($E$10)))))</f>
        <v>0</v>
      </c>
      <c r="Q159" s="43" t="n">
        <f aca="false">MAX(0,MIN(L159,$C$14-(P159)-(MIN(M159,N($E$8))+MIN(N159,N($E$9))+MIN(O159,N($E$10)))))</f>
        <v>0</v>
      </c>
      <c r="R159" s="43" t="n">
        <f aca="false">MAX(0,MIN(M159,$C$14-(P159+Q159)-(MIN(N159,N($E$9))+MIN(O159,N($E$10)))))</f>
        <v>0</v>
      </c>
      <c r="S159" s="43" t="n">
        <f aca="false">MAX(0,MIN(N159,$C$14-(P159+Q159+R159)-(MIN(O159,N($E$10)))))</f>
        <v>0</v>
      </c>
      <c r="T159" s="43" t="n">
        <f aca="false">MAX(0,MIN(O159,$C$14-(P159+Q159+R159+S159)-(0)))</f>
        <v>0</v>
      </c>
      <c r="U159" s="43" t="n">
        <f aca="false">ROUND(K159-P159,2)</f>
        <v>0</v>
      </c>
      <c r="V159" s="43" t="n">
        <f aca="false">ROUND(L159-Q159,2)</f>
        <v>0</v>
      </c>
      <c r="W159" s="43" t="n">
        <f aca="false">ROUND(M159-R159,2)</f>
        <v>0</v>
      </c>
      <c r="X159" s="43" t="n">
        <f aca="false">ROUND(N159-S159,2)</f>
        <v>0</v>
      </c>
      <c r="Y159" s="43" t="n">
        <f aca="false">ROUND(O159-T159,2)</f>
        <v>0</v>
      </c>
      <c r="Z159" s="43" t="n">
        <f aca="false">SUM(U159:Y159)</f>
        <v>0</v>
      </c>
    </row>
    <row r="160" customFormat="false" ht="15" hidden="false" customHeight="false" outlineLevel="0" collapsed="false">
      <c r="J160" s="42" t="n">
        <f aca="false">EDATE($C$13,119)</f>
        <v>50010</v>
      </c>
      <c r="K160" s="43" t="n">
        <f aca="false">U159*(1+N($D$6)/12)</f>
        <v>0</v>
      </c>
      <c r="L160" s="43" t="n">
        <f aca="false">V159*(1+N($D$7)/12)</f>
        <v>0</v>
      </c>
      <c r="M160" s="43" t="n">
        <f aca="false">W159*(1+N($D$8)/12)</f>
        <v>0</v>
      </c>
      <c r="N160" s="43" t="n">
        <f aca="false">X159*(1+N($D$9)/12)</f>
        <v>0</v>
      </c>
      <c r="O160" s="43" t="n">
        <f aca="false">Y159*(1+N($D$10)/12)</f>
        <v>0</v>
      </c>
      <c r="P160" s="43" t="n">
        <f aca="false">MAX(0,MIN(K160,$C$14-(0)-(MIN(L160,N($E$7))+MIN(M160,N($E$8))+MIN(N160,N($E$9))+MIN(O160,N($E$10)))))</f>
        <v>0</v>
      </c>
      <c r="Q160" s="43" t="n">
        <f aca="false">MAX(0,MIN(L160,$C$14-(P160)-(MIN(M160,N($E$8))+MIN(N160,N($E$9))+MIN(O160,N($E$10)))))</f>
        <v>0</v>
      </c>
      <c r="R160" s="43" t="n">
        <f aca="false">MAX(0,MIN(M160,$C$14-(P160+Q160)-(MIN(N160,N($E$9))+MIN(O160,N($E$10)))))</f>
        <v>0</v>
      </c>
      <c r="S160" s="43" t="n">
        <f aca="false">MAX(0,MIN(N160,$C$14-(P160+Q160+R160)-(MIN(O160,N($E$10)))))</f>
        <v>0</v>
      </c>
      <c r="T160" s="43" t="n">
        <f aca="false">MAX(0,MIN(O160,$C$14-(P160+Q160+R160+S160)-(0)))</f>
        <v>0</v>
      </c>
      <c r="U160" s="43" t="n">
        <f aca="false">ROUND(K160-P160,2)</f>
        <v>0</v>
      </c>
      <c r="V160" s="43" t="n">
        <f aca="false">ROUND(L160-Q160,2)</f>
        <v>0</v>
      </c>
      <c r="W160" s="43" t="n">
        <f aca="false">ROUND(M160-R160,2)</f>
        <v>0</v>
      </c>
      <c r="X160" s="43" t="n">
        <f aca="false">ROUND(N160-S160,2)</f>
        <v>0</v>
      </c>
      <c r="Y160" s="43" t="n">
        <f aca="false">ROUND(O160-T160,2)</f>
        <v>0</v>
      </c>
      <c r="Z160" s="43" t="n">
        <f aca="false">SUM(U160:Y160)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CBA9"/>
    <pageSetUpPr fitToPage="true"/>
  </sheetPr>
  <dimension ref="B2:H2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</cols>
  <sheetData>
    <row r="2" customFormat="false" ht="30" hidden="false" customHeight="true" outlineLevel="0" collapsed="false">
      <c r="B2" s="9" t="s">
        <v>152</v>
      </c>
    </row>
    <row r="3" customFormat="false" ht="15" hidden="false" customHeight="false" outlineLevel="0" collapsed="false">
      <c r="B3" s="10" t="s">
        <v>153</v>
      </c>
    </row>
    <row r="5" customFormat="false" ht="19.5" hidden="false" customHeight="true" outlineLevel="0" collapsed="false">
      <c r="B5" s="13" t="s">
        <v>154</v>
      </c>
      <c r="C5" s="14" t="s">
        <v>102</v>
      </c>
      <c r="D5" s="14" t="s">
        <v>155</v>
      </c>
      <c r="E5" s="14" t="s">
        <v>156</v>
      </c>
      <c r="F5" s="14" t="s">
        <v>157</v>
      </c>
      <c r="G5" s="14" t="s">
        <v>158</v>
      </c>
      <c r="H5" s="14" t="s">
        <v>159</v>
      </c>
    </row>
    <row r="6" customFormat="false" ht="15" hidden="false" customHeight="false" outlineLevel="0" collapsed="false">
      <c r="B6" s="16" t="s">
        <v>160</v>
      </c>
      <c r="C6" s="17" t="n">
        <v>9000</v>
      </c>
      <c r="D6" s="17" t="n">
        <v>2400</v>
      </c>
      <c r="E6" s="40" t="n">
        <f aca="true">EDATE(TODAY(),12)</f>
        <v>46661</v>
      </c>
      <c r="F6" s="44" t="n">
        <f aca="true">IF(OR(B6="",E6=""),"",MAX(1,(YEAR(E6)-YEAR(TODAY()))*12+MONTH(E6)-MONTH(TODAY())))</f>
        <v>12</v>
      </c>
      <c r="G6" s="19" t="n">
        <f aca="false">IF(F6="","",MAX(0,(C6-D6)/F6))</f>
        <v>550</v>
      </c>
      <c r="H6" s="28" t="n">
        <f aca="false">IF(N(C6)=0,"",MIN(1,D6/C6))</f>
        <v>0.266666666666667</v>
      </c>
    </row>
    <row r="7" customFormat="false" ht="15" hidden="false" customHeight="false" outlineLevel="0" collapsed="false">
      <c r="B7" s="16" t="s">
        <v>161</v>
      </c>
      <c r="C7" s="17" t="n">
        <v>2500</v>
      </c>
      <c r="D7" s="17" t="n">
        <v>600</v>
      </c>
      <c r="E7" s="40" t="n">
        <f aca="true">EDATE(TODAY(),7)</f>
        <v>46508</v>
      </c>
      <c r="F7" s="44" t="n">
        <f aca="true">IF(OR(B7="",E7=""),"",MAX(1,(YEAR(E7)-YEAR(TODAY()))*12+MONTH(E7)-MONTH(TODAY())))</f>
        <v>7</v>
      </c>
      <c r="G7" s="19" t="n">
        <f aca="false">IF(F7="","",MAX(0,(C7-D7)/F7))</f>
        <v>271.428571428571</v>
      </c>
      <c r="H7" s="28" t="n">
        <f aca="false">IF(N(C7)=0,"",MIN(1,D7/C7))</f>
        <v>0.24</v>
      </c>
    </row>
    <row r="8" customFormat="false" ht="15" hidden="false" customHeight="false" outlineLevel="0" collapsed="false">
      <c r="B8" s="16" t="s">
        <v>162</v>
      </c>
      <c r="C8" s="17" t="n">
        <v>1400</v>
      </c>
      <c r="D8" s="17" t="n">
        <v>350</v>
      </c>
      <c r="E8" s="40" t="n">
        <f aca="true">EDATE(TODAY(),5)</f>
        <v>46447</v>
      </c>
      <c r="F8" s="44" t="n">
        <f aca="true">IF(OR(B8="",E8=""),"",MAX(1,(YEAR(E8)-YEAR(TODAY()))*12+MONTH(E8)-MONTH(TODAY())))</f>
        <v>5</v>
      </c>
      <c r="G8" s="19" t="n">
        <f aca="false">IF(F8="","",MAX(0,(C8-D8)/F8))</f>
        <v>210</v>
      </c>
      <c r="H8" s="28" t="n">
        <f aca="false">IF(N(C8)=0,"",MIN(1,D8/C8))</f>
        <v>0.25</v>
      </c>
    </row>
    <row r="9" customFormat="false" ht="15" hidden="false" customHeight="false" outlineLevel="0" collapsed="false">
      <c r="B9" s="16" t="s">
        <v>163</v>
      </c>
      <c r="C9" s="17" t="n">
        <v>30000</v>
      </c>
      <c r="D9" s="17" t="n">
        <v>4200</v>
      </c>
      <c r="E9" s="40" t="n">
        <f aca="true">EDATE(TODAY(),36)</f>
        <v>47392</v>
      </c>
      <c r="F9" s="44" t="n">
        <f aca="true">IF(OR(B9="",E9=""),"",MAX(1,(YEAR(E9)-YEAR(TODAY()))*12+MONTH(E9)-MONTH(TODAY())))</f>
        <v>36</v>
      </c>
      <c r="G9" s="19" t="n">
        <f aca="false">IF(F9="","",MAX(0,(C9-D9)/F9))</f>
        <v>716.666666666667</v>
      </c>
      <c r="H9" s="28" t="n">
        <f aca="false">IF(N(C9)=0,"",MIN(1,D9/C9))</f>
        <v>0.14</v>
      </c>
    </row>
    <row r="10" customFormat="false" ht="15" hidden="false" customHeight="false" outlineLevel="0" collapsed="false">
      <c r="B10" s="16"/>
      <c r="C10" s="17"/>
      <c r="D10" s="17"/>
      <c r="E10" s="40"/>
      <c r="F10" s="44" t="str">
        <f aca="true">IF(OR(B10="",E10=""),"",MAX(1,(YEAR(E10)-YEAR(TODAY()))*12+MONTH(E10)-MONTH(TODAY())))</f>
        <v/>
      </c>
      <c r="G10" s="19" t="str">
        <f aca="false">IF(F10="","",MAX(0,(C10-D10)/F10))</f>
        <v/>
      </c>
      <c r="H10" s="28" t="str">
        <f aca="false">IF(N(C10)=0,"",MIN(1,D10/C10))</f>
        <v/>
      </c>
    </row>
    <row r="11" customFormat="false" ht="15" hidden="false" customHeight="false" outlineLevel="0" collapsed="false">
      <c r="B11" s="16"/>
      <c r="C11" s="17"/>
      <c r="D11" s="17"/>
      <c r="E11" s="40"/>
      <c r="F11" s="44" t="str">
        <f aca="true">IF(OR(B11="",E11=""),"",MAX(1,(YEAR(E11)-YEAR(TODAY()))*12+MONTH(E11)-MONTH(TODAY())))</f>
        <v/>
      </c>
      <c r="G11" s="19" t="str">
        <f aca="false">IF(F11="","",MAX(0,(C11-D11)/F11))</f>
        <v/>
      </c>
      <c r="H11" s="28" t="str">
        <f aca="false">IF(N(C11)=0,"",MIN(1,D11/C11))</f>
        <v/>
      </c>
    </row>
    <row r="12" customFormat="false" ht="15" hidden="false" customHeight="false" outlineLevel="0" collapsed="false">
      <c r="B12" s="16"/>
      <c r="C12" s="17"/>
      <c r="D12" s="17"/>
      <c r="E12" s="40"/>
      <c r="F12" s="44" t="str">
        <f aca="true">IF(OR(B12="",E12=""),"",MAX(1,(YEAR(E12)-YEAR(TODAY()))*12+MONTH(E12)-MONTH(TODAY())))</f>
        <v/>
      </c>
      <c r="G12" s="19" t="str">
        <f aca="false">IF(F12="","",MAX(0,(C12-D12)/F12))</f>
        <v/>
      </c>
      <c r="H12" s="28" t="str">
        <f aca="false">IF(N(C12)=0,"",MIN(1,D12/C12))</f>
        <v/>
      </c>
    </row>
    <row r="13" customFormat="false" ht="15" hidden="false" customHeight="false" outlineLevel="0" collapsed="false">
      <c r="B13" s="16"/>
      <c r="C13" s="17"/>
      <c r="D13" s="17"/>
      <c r="E13" s="40"/>
      <c r="F13" s="44" t="str">
        <f aca="true">IF(OR(B13="",E13=""),"",MAX(1,(YEAR(E13)-YEAR(TODAY()))*12+MONTH(E13)-MONTH(TODAY())))</f>
        <v/>
      </c>
      <c r="G13" s="19" t="str">
        <f aca="false">IF(F13="","",MAX(0,(C13-D13)/F13))</f>
        <v/>
      </c>
      <c r="H13" s="28" t="str">
        <f aca="false">IF(N(C13)=0,"",MIN(1,D13/C13))</f>
        <v/>
      </c>
    </row>
    <row r="14" customFormat="false" ht="15" hidden="false" customHeight="false" outlineLevel="0" collapsed="false">
      <c r="B14" s="16"/>
      <c r="C14" s="17"/>
      <c r="D14" s="17"/>
      <c r="E14" s="40"/>
      <c r="F14" s="44" t="str">
        <f aca="true">IF(OR(B14="",E14=""),"",MAX(1,(YEAR(E14)-YEAR(TODAY()))*12+MONTH(E14)-MONTH(TODAY())))</f>
        <v/>
      </c>
      <c r="G14" s="19" t="str">
        <f aca="false">IF(F14="","",MAX(0,(C14-D14)/F14))</f>
        <v/>
      </c>
      <c r="H14" s="28" t="str">
        <f aca="false">IF(N(C14)=0,"",MIN(1,D14/C14))</f>
        <v/>
      </c>
    </row>
    <row r="15" customFormat="false" ht="15" hidden="false" customHeight="false" outlineLevel="0" collapsed="false">
      <c r="B15" s="16"/>
      <c r="C15" s="17"/>
      <c r="D15" s="17"/>
      <c r="E15" s="40"/>
      <c r="F15" s="44" t="str">
        <f aca="true">IF(OR(B15="",E15=""),"",MAX(1,(YEAR(E15)-YEAR(TODAY()))*12+MONTH(E15)-MONTH(TODAY())))</f>
        <v/>
      </c>
      <c r="G15" s="19" t="str">
        <f aca="false">IF(F15="","",MAX(0,(C15-D15)/F15))</f>
        <v/>
      </c>
      <c r="H15" s="28" t="str">
        <f aca="false">IF(N(C15)=0,"",MIN(1,D15/C15))</f>
        <v/>
      </c>
    </row>
    <row r="16" customFormat="false" ht="15" hidden="false" customHeight="false" outlineLevel="0" collapsed="false">
      <c r="B16" s="16"/>
      <c r="C16" s="17"/>
      <c r="D16" s="17"/>
      <c r="E16" s="40"/>
      <c r="F16" s="44" t="str">
        <f aca="true">IF(OR(B16="",E16=""),"",MAX(1,(YEAR(E16)-YEAR(TODAY()))*12+MONTH(E16)-MONTH(TODAY())))</f>
        <v/>
      </c>
      <c r="G16" s="19" t="str">
        <f aca="false">IF(F16="","",MAX(0,(C16-D16)/F16))</f>
        <v/>
      </c>
      <c r="H16" s="28" t="str">
        <f aca="false">IF(N(C16)=0,"",MIN(1,D16/C16))</f>
        <v/>
      </c>
    </row>
    <row r="17" customFormat="false" ht="15" hidden="false" customHeight="false" outlineLevel="0" collapsed="false">
      <c r="B17" s="16"/>
      <c r="C17" s="17"/>
      <c r="D17" s="17"/>
      <c r="E17" s="40"/>
      <c r="F17" s="44" t="str">
        <f aca="true">IF(OR(B17="",E17=""),"",MAX(1,(YEAR(E17)-YEAR(TODAY()))*12+MONTH(E17)-MONTH(TODAY())))</f>
        <v/>
      </c>
      <c r="G17" s="19" t="str">
        <f aca="false">IF(F17="","",MAX(0,(C17-D17)/F17))</f>
        <v/>
      </c>
      <c r="H17" s="28" t="str">
        <f aca="false">IF(N(C17)=0,"",MIN(1,D17/C17))</f>
        <v/>
      </c>
    </row>
    <row r="19" customFormat="false" ht="15" hidden="false" customHeight="false" outlineLevel="0" collapsed="false">
      <c r="B19" s="11" t="s">
        <v>164</v>
      </c>
      <c r="G19" s="32" t="n">
        <f aca="false">SUM(G6:G17)</f>
        <v>1748.09523809524</v>
      </c>
    </row>
    <row r="20" customFormat="false" ht="15" hidden="false" customHeight="false" outlineLevel="0" collapsed="false">
      <c r="B20" s="29" t="s">
        <v>165</v>
      </c>
    </row>
  </sheetData>
  <conditionalFormatting sqref="H6:H17">
    <cfRule type="dataBar" priority="2">
      <dataBar showValue="1" minLength="10" maxLength="90">
        <cfvo type="num" val="0"/>
        <cfvo type="num" val="1"/>
        <color rgb="FF5BA67F"/>
      </dataBar>
      <extLst>
        <ext xmlns:x14="http://schemas.microsoft.com/office/spreadsheetml/2009/9/main" uri="{B025F937-C7B1-47D3-B67F-A62EFF666E3E}">
          <x14:id>{AD63B766-8DEC-48DC-A3B2-F31C6BF29080}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63B766-8DEC-48DC-A3B2-F31C6BF2908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A67F"/>
              <x14:axisColor rgb="FF000000"/>
            </x14:dataBar>
          </x14:cfRule>
          <xm:sqref>H6:H17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2026-10-01T11:53:45Z</dcterms:created>
  <dc:creator>openpyxl</dc:creator>
  <dc:description/>
  <dc:language>en-US</dc:language>
  <cp:lastModifiedBy/>
  <dcterms:modified xsi:type="dcterms:W3CDTF">2026-10-01T11:53:48Z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